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5805" tabRatio="789"/>
  </bookViews>
  <sheets>
    <sheet name="GÜZERGAH TALEP" sheetId="1" r:id="rId1"/>
    <sheet name="YASAK EKLEME &amp; KALDIRMA" sheetId="11" r:id="rId2"/>
    <sheet name="DURAK İSİMLERİ" sheetId="2" state="hidden" r:id="rId3"/>
  </sheets>
  <definedNames>
    <definedName name="_xlnm._FilterDatabase" localSheetId="2" hidden="1">'DURAK İSİMLERİ'!$C$1:$G$1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G99" i="1"/>
  <c r="G100" i="1"/>
  <c r="G46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7" i="1"/>
  <c r="G18" i="1"/>
  <c r="G16" i="1"/>
  <c r="I11" i="1"/>
  <c r="I13" i="1" s="1"/>
  <c r="I15" i="1" s="1"/>
  <c r="I17" i="1" s="1"/>
  <c r="I19" i="1" s="1"/>
  <c r="I21" i="1" s="1"/>
  <c r="I23" i="1" s="1"/>
  <c r="I25" i="1" s="1"/>
  <c r="I27" i="1" s="1"/>
  <c r="A11" i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O8" i="1"/>
  <c r="G8" i="1"/>
  <c r="J99" i="1"/>
  <c r="J97" i="1"/>
  <c r="J95" i="1"/>
  <c r="J93" i="1"/>
  <c r="J91" i="1"/>
  <c r="J89" i="1"/>
  <c r="J87" i="1"/>
  <c r="J85" i="1"/>
  <c r="J83" i="1"/>
  <c r="J81" i="1"/>
  <c r="J79" i="1"/>
  <c r="J77" i="1"/>
  <c r="J75" i="1"/>
  <c r="J73" i="1"/>
  <c r="J71" i="1"/>
  <c r="J69" i="1"/>
  <c r="J67" i="1"/>
  <c r="J65" i="1"/>
  <c r="J63" i="1"/>
  <c r="J61" i="1"/>
  <c r="J59" i="1"/>
  <c r="J57" i="1"/>
  <c r="J55" i="1"/>
  <c r="J53" i="1"/>
  <c r="J51" i="1"/>
  <c r="J49" i="1"/>
  <c r="J47" i="1"/>
  <c r="J45" i="1"/>
  <c r="J43" i="1"/>
  <c r="J41" i="1"/>
  <c r="J39" i="1"/>
  <c r="J37" i="1"/>
  <c r="J35" i="1"/>
  <c r="J33" i="1"/>
  <c r="J31" i="1"/>
  <c r="J29" i="1"/>
  <c r="J27" i="1"/>
  <c r="J25" i="1"/>
  <c r="J23" i="1"/>
  <c r="J21" i="1"/>
  <c r="J19" i="1"/>
  <c r="J17" i="1"/>
  <c r="J15" i="1"/>
  <c r="J13" i="1"/>
  <c r="J11" i="1"/>
  <c r="B13" i="1"/>
  <c r="B15" i="1"/>
  <c r="B17" i="1"/>
  <c r="B19" i="1"/>
  <c r="B21" i="1"/>
  <c r="B23" i="1"/>
  <c r="B25" i="1"/>
  <c r="B27" i="1"/>
  <c r="B29" i="1"/>
  <c r="B31" i="1"/>
  <c r="B33" i="1"/>
  <c r="B35" i="1"/>
  <c r="B37" i="1"/>
  <c r="B39" i="1"/>
  <c r="B41" i="1"/>
  <c r="B43" i="1"/>
  <c r="B45" i="1"/>
  <c r="B47" i="1"/>
  <c r="B49" i="1"/>
  <c r="B51" i="1"/>
  <c r="B53" i="1"/>
  <c r="B55" i="1"/>
  <c r="B57" i="1"/>
  <c r="B59" i="1"/>
  <c r="B61" i="1"/>
  <c r="B63" i="1"/>
  <c r="B65" i="1"/>
  <c r="B67" i="1"/>
  <c r="B69" i="1"/>
  <c r="B71" i="1"/>
  <c r="B73" i="1"/>
  <c r="B75" i="1"/>
  <c r="B77" i="1"/>
  <c r="B79" i="1"/>
  <c r="B81" i="1"/>
  <c r="B83" i="1"/>
  <c r="B85" i="1"/>
  <c r="B87" i="1"/>
  <c r="B89" i="1"/>
  <c r="B91" i="1"/>
  <c r="B93" i="1"/>
  <c r="B95" i="1"/>
  <c r="B97" i="1"/>
  <c r="B99" i="1"/>
  <c r="B11" i="1"/>
  <c r="I99" i="1"/>
  <c r="I97" i="1"/>
  <c r="I95" i="1"/>
  <c r="I93" i="1"/>
  <c r="I91" i="1"/>
  <c r="I89" i="1"/>
  <c r="I87" i="1"/>
  <c r="I85" i="1"/>
  <c r="I83" i="1"/>
  <c r="I81" i="1"/>
  <c r="I79" i="1"/>
  <c r="I77" i="1"/>
  <c r="I75" i="1"/>
  <c r="I73" i="1"/>
  <c r="I71" i="1"/>
  <c r="I29" i="1"/>
  <c r="I31" i="1"/>
  <c r="I33" i="1"/>
  <c r="I35" i="1" s="1"/>
  <c r="I37" i="1" s="1"/>
  <c r="I39" i="1" s="1"/>
  <c r="I41" i="1" s="1"/>
  <c r="I43" i="1" s="1"/>
  <c r="I45" i="1" s="1"/>
  <c r="I47" i="1" s="1"/>
  <c r="I49" i="1" s="1"/>
  <c r="I51" i="1"/>
  <c r="I53" i="1"/>
  <c r="I55" i="1"/>
  <c r="I57" i="1"/>
  <c r="I59" i="1"/>
  <c r="I61" i="1"/>
  <c r="I63" i="1"/>
  <c r="I65" i="1"/>
  <c r="I67" i="1"/>
  <c r="I69" i="1"/>
  <c r="G556" i="2"/>
  <c r="G289" i="2"/>
  <c r="G606" i="2"/>
  <c r="G562" i="2"/>
  <c r="G582" i="2"/>
  <c r="G765" i="2"/>
  <c r="G493" i="2"/>
  <c r="G548" i="2"/>
  <c r="G581" i="2"/>
  <c r="G31" i="2"/>
  <c r="G583" i="2"/>
  <c r="G699" i="2"/>
  <c r="G359" i="2"/>
  <c r="G356" i="2"/>
  <c r="G453" i="2"/>
  <c r="G304" i="2"/>
  <c r="G157" i="2"/>
  <c r="G486" i="2"/>
  <c r="G271" i="2"/>
  <c r="G537" i="2"/>
  <c r="G665" i="2"/>
  <c r="G664" i="2"/>
  <c r="G746" i="2"/>
  <c r="G666" i="2"/>
  <c r="G527" i="2"/>
  <c r="G330" i="2"/>
  <c r="G611" i="2"/>
  <c r="G653" i="2"/>
  <c r="G798" i="2"/>
  <c r="G192" i="2"/>
  <c r="G191" i="2"/>
  <c r="G178" i="2"/>
  <c r="G126" i="2"/>
  <c r="G647" i="2"/>
  <c r="G788" i="2"/>
  <c r="G688" i="2"/>
  <c r="G634" i="2"/>
  <c r="G454" i="2"/>
  <c r="G291" i="2"/>
  <c r="G241" i="2"/>
  <c r="G494" i="2"/>
  <c r="G156" i="2"/>
  <c r="G776" i="2"/>
  <c r="G285" i="2"/>
  <c r="G502" i="2"/>
  <c r="G799" i="2"/>
  <c r="G782" i="2"/>
  <c r="G682" i="2"/>
  <c r="G239" i="2"/>
  <c r="G96" i="2"/>
  <c r="G69" i="2"/>
  <c r="G663" i="2"/>
  <c r="G629" i="2"/>
  <c r="G455" i="2"/>
  <c r="G243" i="2"/>
  <c r="G223" i="2"/>
  <c r="G120" i="2"/>
  <c r="G564" i="2"/>
  <c r="G373" i="2"/>
  <c r="G559" i="2"/>
  <c r="G2" i="2"/>
  <c r="G201" i="2"/>
  <c r="G703" i="2"/>
  <c r="G615" i="2"/>
  <c r="G275" i="2"/>
  <c r="G670" i="2"/>
  <c r="G693" i="2"/>
  <c r="G378" i="2"/>
  <c r="G675" i="2"/>
  <c r="G237" i="2"/>
  <c r="G122" i="2"/>
  <c r="G103" i="2"/>
  <c r="G521" i="2"/>
  <c r="G667" i="2"/>
  <c r="G145" i="2"/>
  <c r="G303" i="2"/>
  <c r="G53" i="2"/>
  <c r="G763" i="2"/>
  <c r="G15" i="2"/>
  <c r="G668" i="2"/>
  <c r="G624" i="2"/>
  <c r="G346" i="2"/>
  <c r="G351" i="2"/>
  <c r="G524" i="2"/>
  <c r="G458" i="2"/>
  <c r="G206" i="2"/>
  <c r="G293" i="2"/>
  <c r="G14" i="2"/>
  <c r="G471" i="2"/>
  <c r="G781" i="2"/>
  <c r="G161" i="2"/>
  <c r="G224" i="2"/>
  <c r="G474" i="2"/>
  <c r="G360" i="2"/>
  <c r="G507" i="2"/>
  <c r="G314" i="2"/>
  <c r="G671" i="2"/>
  <c r="G136" i="2"/>
  <c r="G601" i="2"/>
  <c r="G698" i="2"/>
  <c r="G90" i="2"/>
  <c r="G590" i="2"/>
  <c r="G757" i="2"/>
  <c r="G630" i="2"/>
  <c r="G488" i="2"/>
  <c r="G692" i="2"/>
  <c r="G261" i="2"/>
  <c r="G320" i="2"/>
  <c r="G718" i="2"/>
  <c r="G604" i="2"/>
  <c r="G258" i="2"/>
  <c r="G490" i="2"/>
  <c r="G719" i="2"/>
  <c r="G296" i="2"/>
  <c r="G391" i="2"/>
  <c r="G691" i="2"/>
  <c r="G448" i="2"/>
  <c r="G518" i="2"/>
  <c r="G114" i="2"/>
  <c r="G202" i="2"/>
  <c r="G48" i="2"/>
  <c r="G124" i="2"/>
  <c r="G183" i="2"/>
  <c r="G91" i="2"/>
  <c r="G795" i="2"/>
  <c r="G189" i="2"/>
  <c r="G104" i="2"/>
  <c r="G701" i="2"/>
  <c r="G311" i="2"/>
  <c r="G74" i="2"/>
  <c r="G724" i="2"/>
  <c r="G522" i="2"/>
  <c r="G250" i="2"/>
  <c r="G372" i="2"/>
  <c r="G769" i="2"/>
  <c r="G139" i="2"/>
  <c r="G640" i="2"/>
  <c r="G715" i="2"/>
  <c r="G140" i="2"/>
  <c r="G281" i="2"/>
  <c r="G432" i="2"/>
  <c r="G282" i="2"/>
  <c r="G713" i="2"/>
  <c r="G500" i="2"/>
  <c r="G456" i="2"/>
  <c r="G210" i="2"/>
  <c r="G352" i="2"/>
  <c r="G292" i="2"/>
  <c r="G457" i="2"/>
  <c r="G205" i="2"/>
  <c r="G87" i="2"/>
  <c r="G563" i="2"/>
  <c r="G390" i="2"/>
  <c r="G489" i="2"/>
  <c r="G525" i="2"/>
  <c r="G228" i="2"/>
  <c r="G441" i="2"/>
  <c r="G528" i="2"/>
  <c r="G347" i="2"/>
  <c r="G712" i="2"/>
  <c r="G557" i="2"/>
  <c r="G9" i="2"/>
  <c r="G721" i="2"/>
  <c r="G199" i="2"/>
  <c r="G312" i="2"/>
  <c r="G536" i="2"/>
  <c r="G244" i="2"/>
  <c r="G219" i="2"/>
  <c r="G10" i="2"/>
  <c r="G587" i="2"/>
  <c r="G433" i="2"/>
  <c r="G447" i="2"/>
  <c r="G421" i="2"/>
  <c r="G794" i="2"/>
  <c r="G102" i="2"/>
  <c r="G621" i="2"/>
  <c r="G476" i="2"/>
  <c r="G106" i="2"/>
  <c r="G566" i="2"/>
  <c r="G366" i="2"/>
  <c r="G27" i="2"/>
  <c r="G608" i="2"/>
  <c r="G425" i="2"/>
  <c r="G567" i="2"/>
  <c r="G107" i="2"/>
  <c r="G341" i="2"/>
  <c r="G342" i="2"/>
  <c r="G108" i="2"/>
  <c r="G343" i="2"/>
  <c r="G727" i="2"/>
  <c r="G368" i="2"/>
  <c r="G367" i="2"/>
  <c r="G756" i="2"/>
  <c r="G465" i="2"/>
  <c r="G155" i="2"/>
  <c r="G187" i="2"/>
  <c r="G166" i="2"/>
  <c r="G593" i="2"/>
  <c r="G23" i="2"/>
  <c r="G678" i="2"/>
  <c r="G283" i="2"/>
  <c r="G276" i="2"/>
  <c r="G602" i="2"/>
  <c r="G464" i="2"/>
  <c r="G379" i="2"/>
  <c r="G254" i="2"/>
  <c r="G308" i="2"/>
  <c r="G73" i="2"/>
  <c r="G780" i="2"/>
  <c r="G253" i="2"/>
  <c r="G163" i="2"/>
  <c r="G541" i="2"/>
  <c r="G651" i="2"/>
  <c r="G255" i="2"/>
  <c r="G633" i="2"/>
  <c r="G594" i="2"/>
  <c r="G213" i="2"/>
  <c r="G586" i="2"/>
  <c r="G431" i="2"/>
  <c r="G355" i="2"/>
  <c r="G775" i="2"/>
  <c r="G260" i="2"/>
  <c r="G605" i="2"/>
  <c r="G338" i="2"/>
  <c r="G167" i="2"/>
  <c r="G774" i="2"/>
  <c r="G470" i="2"/>
  <c r="G767" i="2"/>
  <c r="G393" i="2"/>
  <c r="G435" i="2"/>
  <c r="G280" i="2"/>
  <c r="G443" i="2"/>
  <c r="G83" i="2"/>
  <c r="G67" i="2"/>
  <c r="G169" i="2"/>
  <c r="G324" i="2"/>
  <c r="G331" i="2"/>
  <c r="G325" i="2"/>
  <c r="G625" i="2"/>
  <c r="G109" i="2"/>
  <c r="G772" i="2"/>
  <c r="G348" i="2"/>
  <c r="G720" i="2"/>
  <c r="G424" i="2"/>
  <c r="G661" i="2"/>
  <c r="G704" i="2"/>
  <c r="G484" i="2"/>
  <c r="G204" i="2"/>
  <c r="G100" i="2"/>
  <c r="G238" i="2"/>
  <c r="G429" i="2"/>
  <c r="G589" i="2"/>
  <c r="G592" i="2"/>
  <c r="G44" i="2"/>
  <c r="G369" i="2"/>
  <c r="G371" i="2"/>
  <c r="G251" i="2"/>
  <c r="G498" i="2"/>
  <c r="G97" i="2"/>
  <c r="G436" i="2"/>
  <c r="G394" i="2"/>
  <c r="G610" i="2"/>
  <c r="G247" i="2"/>
  <c r="G531" i="2"/>
  <c r="G512" i="2"/>
  <c r="G626" i="2"/>
  <c r="G40" i="2"/>
  <c r="G473" i="2"/>
  <c r="G98" i="2"/>
  <c r="G427" i="2"/>
  <c r="G43" i="2"/>
  <c r="G6" i="2"/>
  <c r="G135" i="2"/>
  <c r="G115" i="2"/>
  <c r="G430" i="2"/>
  <c r="G236" i="2"/>
  <c r="G479" i="2"/>
  <c r="G437" i="2"/>
  <c r="G326" i="2"/>
  <c r="G180" i="2"/>
  <c r="G381" i="2"/>
  <c r="G779" i="2"/>
  <c r="G322" i="2"/>
  <c r="G726" i="2"/>
  <c r="G681" i="2"/>
  <c r="G79" i="2"/>
  <c r="G334" i="2"/>
  <c r="G207" i="2"/>
  <c r="G733" i="2"/>
  <c r="G319" i="2"/>
  <c r="G332" i="2"/>
  <c r="G503" i="2"/>
  <c r="G221" i="2"/>
  <c r="G401" i="2"/>
  <c r="G495" i="2"/>
  <c r="G475" i="2"/>
  <c r="G777" i="2"/>
  <c r="G173" i="2"/>
  <c r="G13" i="2"/>
  <c r="G305" i="2"/>
  <c r="G290" i="2"/>
  <c r="G683" i="2"/>
  <c r="G641" i="2"/>
  <c r="G764" i="2"/>
  <c r="G542" i="2"/>
  <c r="G535" i="2"/>
  <c r="G63" i="2"/>
  <c r="G418" i="2"/>
  <c r="G70" i="2"/>
  <c r="G790" i="2"/>
  <c r="G686" i="2"/>
  <c r="G128" i="2"/>
  <c r="G773" i="2"/>
  <c r="G414" i="2"/>
  <c r="G222" i="2"/>
  <c r="G51" i="2"/>
  <c r="G728" i="2"/>
  <c r="G203" i="2"/>
  <c r="G47" i="2"/>
  <c r="G612" i="2"/>
  <c r="G377" i="2"/>
  <c r="G553" i="2"/>
  <c r="G193" i="2"/>
  <c r="G112" i="2"/>
  <c r="G466" i="2"/>
  <c r="G585" i="2"/>
  <c r="G133" i="2"/>
  <c r="G504" i="2"/>
  <c r="G748" i="2"/>
  <c r="G3" i="2"/>
  <c r="G116" i="2"/>
  <c r="G575" i="2"/>
  <c r="G492" i="2"/>
  <c r="G82" i="2"/>
  <c r="G722" i="2"/>
  <c r="G730" i="2"/>
  <c r="G603" i="2"/>
  <c r="G643" i="2"/>
  <c r="G530" i="2"/>
  <c r="G33" i="2"/>
  <c r="G26" i="2"/>
  <c r="G588" i="2"/>
  <c r="G185" i="2"/>
  <c r="G613" i="2"/>
  <c r="G669" i="2"/>
  <c r="G434" i="2"/>
  <c r="G195" i="2"/>
  <c r="G800" i="2"/>
  <c r="G81" i="2"/>
  <c r="G299" i="2"/>
  <c r="G226" i="2"/>
  <c r="G519" i="2"/>
  <c r="G552" i="2"/>
  <c r="G151" i="2"/>
  <c r="G158" i="2"/>
  <c r="G220" i="2"/>
  <c r="G599" i="2"/>
  <c r="G172" i="2"/>
  <c r="G233" i="2"/>
  <c r="G403" i="2"/>
  <c r="G741" i="2"/>
  <c r="G235" i="2"/>
  <c r="G754" i="2"/>
  <c r="G462" i="2"/>
  <c r="G131" i="2"/>
  <c r="G416" i="2"/>
  <c r="G336" i="2"/>
  <c r="G323" i="2"/>
  <c r="G627" i="2"/>
  <c r="G622" i="2"/>
  <c r="G426" i="2"/>
  <c r="G597" i="2"/>
  <c r="G655" i="2"/>
  <c r="G789" i="2"/>
  <c r="G792" i="2"/>
  <c r="G745" i="2"/>
  <c r="G737" i="2"/>
  <c r="G736" i="2"/>
  <c r="G731" i="2"/>
  <c r="G674" i="2"/>
  <c r="G660" i="2"/>
  <c r="G658" i="2"/>
  <c r="G697" i="2"/>
  <c r="G648" i="2"/>
  <c r="G646" i="2"/>
  <c r="G696" i="2"/>
  <c r="G631" i="2"/>
  <c r="G623" i="2"/>
  <c r="G616" i="2"/>
  <c r="G614" i="2"/>
  <c r="G784" i="2"/>
  <c r="G716" i="2"/>
  <c r="G580" i="2"/>
  <c r="G571" i="2"/>
  <c r="G558" i="2"/>
  <c r="G501" i="2"/>
  <c r="G523" i="2"/>
  <c r="G480" i="2"/>
  <c r="G478" i="2"/>
  <c r="G449" i="2"/>
  <c r="G445" i="2"/>
  <c r="G420" i="2"/>
  <c r="G284" i="2"/>
  <c r="G387" i="2"/>
  <c r="G384" i="2"/>
  <c r="G383" i="2"/>
  <c r="G374" i="2"/>
  <c r="G364" i="2"/>
  <c r="G362" i="2"/>
  <c r="G344" i="2"/>
  <c r="G335" i="2"/>
  <c r="G329" i="2"/>
  <c r="G313" i="2"/>
  <c r="G294" i="2"/>
  <c r="G268" i="2"/>
  <c r="G216" i="2"/>
  <c r="G179" i="2"/>
  <c r="G170" i="2"/>
  <c r="G55" i="2"/>
  <c r="G150" i="2"/>
  <c r="G152" i="2"/>
  <c r="G153" i="2"/>
  <c r="G142" i="2"/>
  <c r="G134" i="2"/>
  <c r="G105" i="2"/>
  <c r="G88" i="2"/>
  <c r="G57" i="2"/>
  <c r="G743" i="2"/>
  <c r="G17" i="2"/>
  <c r="G349" i="2"/>
  <c r="G231" i="2"/>
  <c r="G482" i="2"/>
  <c r="G5" i="2"/>
  <c r="G768" i="2"/>
  <c r="G491" i="2"/>
  <c r="G444" i="2"/>
  <c r="G76" i="2"/>
  <c r="G442" i="2"/>
  <c r="G529" i="2"/>
  <c r="G407" i="2"/>
  <c r="G77" i="2"/>
  <c r="G786" i="2"/>
  <c r="G684" i="2"/>
  <c r="G513" i="2"/>
  <c r="G749" i="2"/>
  <c r="G32" i="2"/>
  <c r="G618" i="2"/>
  <c r="G399" i="2"/>
  <c r="G111" i="2"/>
  <c r="G94" i="2"/>
  <c r="G386" i="2"/>
  <c r="G380" i="2"/>
  <c r="G306" i="2"/>
  <c r="G662" i="2"/>
  <c r="G485" i="2"/>
  <c r="G533" i="2"/>
  <c r="G451" i="2"/>
  <c r="G327" i="2"/>
  <c r="G37" i="2"/>
  <c r="G404" i="2"/>
  <c r="G729" i="2"/>
  <c r="G450" i="2"/>
  <c r="G176" i="2"/>
  <c r="G735" i="2"/>
  <c r="G328" i="2"/>
  <c r="G240" i="2"/>
  <c r="G468" i="2"/>
  <c r="G573" i="2"/>
  <c r="G171" i="2"/>
  <c r="G496" i="2"/>
  <c r="G659" i="2"/>
  <c r="G796" i="2"/>
  <c r="G30" i="2"/>
  <c r="G802" i="2"/>
  <c r="G168" i="2"/>
  <c r="G85" i="2"/>
  <c r="G214" i="2"/>
  <c r="G42" i="2"/>
  <c r="G515" i="2"/>
  <c r="G52" i="2"/>
  <c r="G92" i="2"/>
  <c r="G385" i="2"/>
  <c r="G101" i="2"/>
  <c r="G739" i="2"/>
  <c r="G365" i="2"/>
  <c r="G264" i="2"/>
  <c r="G576" i="2"/>
  <c r="G12" i="2"/>
  <c r="G269" i="2"/>
  <c r="G227" i="2"/>
  <c r="G41" i="2"/>
  <c r="G740" i="2"/>
  <c r="G18" i="2"/>
  <c r="G607" i="2"/>
  <c r="G159" i="2"/>
  <c r="G753" i="2"/>
  <c r="G395" i="2"/>
  <c r="G389" i="2"/>
  <c r="G353" i="2"/>
  <c r="G750" i="2"/>
  <c r="G551" i="2"/>
  <c r="G354" i="2"/>
  <c r="G7" i="2"/>
  <c r="G160" i="2"/>
  <c r="G680" i="2"/>
  <c r="G709" i="2"/>
  <c r="G257" i="2"/>
  <c r="G252" i="2"/>
  <c r="G234" i="2"/>
  <c r="G708" i="2"/>
  <c r="G232" i="2"/>
  <c r="G218" i="2"/>
  <c r="G217" i="2"/>
  <c r="G215" i="2"/>
  <c r="G208" i="2"/>
  <c r="G200" i="2"/>
  <c r="G164" i="2"/>
  <c r="G198" i="2"/>
  <c r="G197" i="2"/>
  <c r="G196" i="2"/>
  <c r="G190" i="2"/>
  <c r="G186" i="2"/>
  <c r="G184" i="2"/>
  <c r="G182" i="2"/>
  <c r="G177" i="2"/>
  <c r="G174" i="2"/>
  <c r="G144" i="2"/>
  <c r="G132" i="2"/>
  <c r="G129" i="2"/>
  <c r="G113" i="2"/>
  <c r="G110" i="2"/>
  <c r="G78" i="2"/>
  <c r="G75" i="2"/>
  <c r="G514" i="2"/>
  <c r="G508" i="2"/>
  <c r="G463" i="2"/>
  <c r="G461" i="2"/>
  <c r="G452" i="2"/>
  <c r="G71" i="2"/>
  <c r="G428" i="2"/>
  <c r="G66" i="2"/>
  <c r="G65" i="2"/>
  <c r="G417" i="2"/>
  <c r="G415" i="2"/>
  <c r="G408" i="2"/>
  <c r="G406" i="2"/>
  <c r="G405" i="2"/>
  <c r="G382" i="2"/>
  <c r="G376" i="2"/>
  <c r="G363" i="2"/>
  <c r="G358" i="2"/>
  <c r="G357" i="2"/>
  <c r="G345" i="2"/>
  <c r="G340" i="2"/>
  <c r="G732" i="2"/>
  <c r="G339" i="2"/>
  <c r="G723" i="2"/>
  <c r="G710" i="2"/>
  <c r="G706" i="2"/>
  <c r="G318" i="2"/>
  <c r="G317" i="2"/>
  <c r="G316" i="2"/>
  <c r="G689" i="2"/>
  <c r="G54" i="2"/>
  <c r="G309" i="2"/>
  <c r="G50" i="2"/>
  <c r="G49" i="2"/>
  <c r="G295" i="2"/>
  <c r="G690" i="2"/>
  <c r="G738" i="2"/>
  <c r="G687" i="2"/>
  <c r="G685" i="2"/>
  <c r="G676" i="2"/>
  <c r="G656" i="2"/>
  <c r="G38" i="2"/>
  <c r="G35" i="2"/>
  <c r="G34" i="2"/>
  <c r="G654" i="2"/>
  <c r="G652" i="2"/>
  <c r="G694" i="2"/>
  <c r="G695" i="2"/>
  <c r="G649" i="2"/>
  <c r="G645" i="2"/>
  <c r="G637" i="2"/>
  <c r="G620" i="2"/>
  <c r="G619" i="2"/>
  <c r="G609" i="2"/>
  <c r="G598" i="2"/>
  <c r="G584" i="2"/>
  <c r="G568" i="2"/>
  <c r="G538" i="2"/>
  <c r="G516" i="2"/>
  <c r="G532" i="2"/>
  <c r="G288" i="2"/>
  <c r="G277" i="2"/>
  <c r="G267" i="2"/>
  <c r="G263" i="2"/>
  <c r="G747" i="2"/>
  <c r="G262" i="2"/>
  <c r="G759" i="2"/>
  <c r="G760" i="2"/>
  <c r="G761" i="2"/>
  <c r="G778" i="2"/>
  <c r="G259" i="2"/>
  <c r="G270" i="2"/>
  <c r="G22" i="2"/>
  <c r="G21" i="2"/>
  <c r="G20" i="2"/>
  <c r="G771" i="2"/>
  <c r="G785" i="2"/>
  <c r="G783" i="2"/>
  <c r="G791" i="2"/>
  <c r="G797" i="2"/>
  <c r="G181" i="2"/>
  <c r="G188" i="2"/>
  <c r="G162" i="2"/>
  <c r="G165" i="2"/>
  <c r="G209" i="2"/>
  <c r="G229" i="2"/>
  <c r="G230" i="2"/>
  <c r="G242" i="2"/>
  <c r="G273" i="2"/>
  <c r="G246" i="2"/>
  <c r="G297" i="2"/>
  <c r="G298" i="2"/>
  <c r="G310" i="2"/>
  <c r="G333" i="2"/>
  <c r="G337" i="2"/>
  <c r="G350" i="2"/>
  <c r="G388" i="2"/>
  <c r="G422" i="2"/>
  <c r="G249" i="2"/>
  <c r="G440" i="2"/>
  <c r="G439" i="2"/>
  <c r="G460" i="2"/>
  <c r="G265" i="2"/>
  <c r="G481" i="2"/>
  <c r="G506" i="2"/>
  <c r="G509" i="2"/>
  <c r="G517" i="2"/>
  <c r="G266" i="2"/>
  <c r="G483" i="2"/>
  <c r="G526" i="2"/>
  <c r="G467" i="2"/>
  <c r="G446" i="2"/>
  <c r="G148" i="2"/>
  <c r="G540" i="2"/>
  <c r="G147" i="2"/>
  <c r="G550" i="2"/>
  <c r="G423" i="2"/>
  <c r="G143" i="2"/>
  <c r="G554" i="2"/>
  <c r="G141" i="2"/>
  <c r="G561" i="2"/>
  <c r="G137" i="2"/>
  <c r="G130" i="2"/>
  <c r="G569" i="2"/>
  <c r="G125" i="2"/>
  <c r="G400" i="2"/>
  <c r="G577" i="2"/>
  <c r="G118" i="2"/>
  <c r="G595" i="2"/>
  <c r="G410" i="2"/>
  <c r="G596" i="2"/>
  <c r="G117" i="2"/>
  <c r="G617" i="2"/>
  <c r="G370" i="2"/>
  <c r="G628" i="2"/>
  <c r="G321" i="2"/>
  <c r="G487" i="2"/>
  <c r="G499" i="2"/>
  <c r="G638" i="2"/>
  <c r="G505" i="2"/>
  <c r="G301" i="2"/>
  <c r="G677" i="2"/>
  <c r="G705" i="2"/>
  <c r="G99" i="2"/>
  <c r="G95" i="2"/>
  <c r="G707" i="2"/>
  <c r="G89" i="2"/>
  <c r="G84" i="2"/>
  <c r="G534" i="2"/>
  <c r="G714" i="2"/>
  <c r="G72" i="2"/>
  <c r="G543" i="2"/>
  <c r="G68" i="2"/>
  <c r="G279" i="2"/>
  <c r="G46" i="2"/>
  <c r="G545" i="2"/>
  <c r="G717" i="2"/>
  <c r="G278" i="2"/>
  <c r="G45" i="2"/>
  <c r="G547" i="2"/>
  <c r="G742" i="2"/>
  <c r="G39" i="2"/>
  <c r="G256" i="2"/>
  <c r="G560" i="2"/>
  <c r="G744" i="2"/>
  <c r="G29" i="2"/>
  <c r="G570" i="2"/>
  <c r="G24" i="2"/>
  <c r="G758" i="2"/>
  <c r="G574" i="2"/>
  <c r="G578" i="2"/>
  <c r="G751" i="2"/>
  <c r="G579" i="2"/>
  <c r="G591" i="2"/>
  <c r="G600" i="2"/>
  <c r="G787" i="2"/>
  <c r="G19" i="2"/>
  <c r="G225" i="2"/>
  <c r="G212" i="2"/>
  <c r="G123" i="2"/>
  <c r="G121" i="2"/>
  <c r="G80" i="2"/>
  <c r="G632" i="2"/>
  <c r="G639" i="2"/>
  <c r="G56" i="2"/>
  <c r="G673" i="2"/>
  <c r="G154" i="2"/>
  <c r="G16" i="2"/>
  <c r="G11" i="2"/>
  <c r="G700" i="2"/>
  <c r="G8" i="2"/>
  <c r="G725" i="2"/>
  <c r="G734" i="2"/>
  <c r="G752" i="2"/>
  <c r="G762" i="2"/>
  <c r="G793" i="2"/>
  <c r="G4" i="2"/>
  <c r="G635" i="2"/>
  <c r="G702" i="2"/>
  <c r="G274" i="2"/>
  <c r="G555" i="2"/>
  <c r="G315" i="2"/>
  <c r="G510" i="2"/>
  <c r="G672" i="2"/>
  <c r="G459" i="2"/>
  <c r="G438" i="2"/>
  <c r="G286" i="2"/>
  <c r="G361" i="2"/>
  <c r="G565" i="2"/>
  <c r="G679" i="2"/>
  <c r="G801" i="2"/>
  <c r="G511" i="2"/>
  <c r="G272" i="2"/>
  <c r="G411" i="2"/>
  <c r="G287" i="2"/>
  <c r="G62" i="2"/>
  <c r="G60" i="2"/>
  <c r="G59" i="2"/>
  <c r="G61" i="2"/>
  <c r="G396" i="2"/>
  <c r="G28" i="2"/>
  <c r="G398" i="2"/>
  <c r="G175" i="2"/>
  <c r="G497" i="2"/>
  <c r="G766" i="2"/>
  <c r="G644" i="2"/>
  <c r="G194" i="2"/>
  <c r="G572" i="2"/>
  <c r="G755" i="2"/>
  <c r="G375" i="2"/>
  <c r="G86" i="2"/>
  <c r="G539" i="2"/>
  <c r="G211" i="2"/>
  <c r="G248" i="2"/>
  <c r="G650" i="2"/>
  <c r="G477" i="2"/>
  <c r="G544" i="2"/>
  <c r="G549" i="2"/>
  <c r="G711" i="2"/>
  <c r="G419" i="2"/>
  <c r="G469" i="2"/>
  <c r="G392" i="2"/>
  <c r="G302" i="2"/>
  <c r="G36" i="2"/>
  <c r="G657" i="2"/>
  <c r="G138" i="2"/>
  <c r="G397" i="2"/>
  <c r="G119" i="2"/>
  <c r="G642" i="2"/>
  <c r="G146" i="2"/>
  <c r="G64" i="2"/>
  <c r="G472" i="2"/>
  <c r="G520" i="2"/>
  <c r="G300" i="2"/>
  <c r="G127" i="2"/>
  <c r="G245" i="2"/>
  <c r="G636" i="2"/>
  <c r="G546" i="2"/>
  <c r="G25" i="2"/>
  <c r="G93" i="2"/>
  <c r="G149" i="2"/>
  <c r="G770" i="2"/>
  <c r="G307" i="2"/>
  <c r="G402" i="2"/>
  <c r="G58" i="2"/>
  <c r="G412" i="2"/>
  <c r="G409" i="2"/>
  <c r="G413" i="2"/>
</calcChain>
</file>

<file path=xl/sharedStrings.xml><?xml version="1.0" encoding="utf-8"?>
<sst xmlns="http://schemas.openxmlformats.org/spreadsheetml/2006/main" count="3641" uniqueCount="2131">
  <si>
    <t>GÜZERGAH</t>
  </si>
  <si>
    <t>DURAK</t>
  </si>
  <si>
    <t>DURAK KODU</t>
  </si>
  <si>
    <t>SÜRE</t>
  </si>
  <si>
    <t>GİDİŞ</t>
  </si>
  <si>
    <t>KALKIŞ / VARIŞ SAATLERİ</t>
  </si>
  <si>
    <t>TOPLAM SEYAHAT SÜRESİ</t>
  </si>
  <si>
    <t>AR1</t>
  </si>
  <si>
    <t>BO1</t>
  </si>
  <si>
    <t>DZ1</t>
  </si>
  <si>
    <t>TM3</t>
  </si>
  <si>
    <t>SK1</t>
  </si>
  <si>
    <t>KC1</t>
  </si>
  <si>
    <t>GE1</t>
  </si>
  <si>
    <t>ID1</t>
  </si>
  <si>
    <t>IA1</t>
  </si>
  <si>
    <t>IE1</t>
  </si>
  <si>
    <t>DÖNÜŞ</t>
  </si>
  <si>
    <t>TALEP EDEN
(AD &amp; SOYAD)</t>
  </si>
  <si>
    <t>Kod</t>
  </si>
  <si>
    <t>Durak ismi</t>
  </si>
  <si>
    <t>Enlem</t>
  </si>
  <si>
    <t>Boylam</t>
  </si>
  <si>
    <t>Enlem - Boylam</t>
  </si>
  <si>
    <t>İstanbul Esenler bus station</t>
  </si>
  <si>
    <t>İstanbul Alibeyköy bus station</t>
  </si>
  <si>
    <t>İstanbul Dudullu bus station</t>
  </si>
  <si>
    <t>Ankara bus station</t>
  </si>
  <si>
    <t>IZ1</t>
  </si>
  <si>
    <t>Izmir bus station</t>
  </si>
  <si>
    <t>Gebze bus station</t>
  </si>
  <si>
    <t>YL1</t>
  </si>
  <si>
    <t>Yalova bus station</t>
  </si>
  <si>
    <t>BU1</t>
  </si>
  <si>
    <t>Bursa bus station</t>
  </si>
  <si>
    <t>BL1</t>
  </si>
  <si>
    <t>Balıkesir bus station</t>
  </si>
  <si>
    <t>AKH</t>
  </si>
  <si>
    <t>Akhisar - DO NOT USE</t>
  </si>
  <si>
    <t>MANISA</t>
  </si>
  <si>
    <t>Sakarya bus station</t>
  </si>
  <si>
    <t>Düzce bus station</t>
  </si>
  <si>
    <t>Bolu bus station</t>
  </si>
  <si>
    <t>FN1</t>
  </si>
  <si>
    <t>Finike bus station</t>
  </si>
  <si>
    <t>KL1</t>
  </si>
  <si>
    <t>Kumluca bus station</t>
  </si>
  <si>
    <t>QM1</t>
  </si>
  <si>
    <t>Kemer bus station</t>
  </si>
  <si>
    <t>AT1</t>
  </si>
  <si>
    <t>Antalya bus station</t>
  </si>
  <si>
    <t>BR1</t>
  </si>
  <si>
    <t>Burdur bus station</t>
  </si>
  <si>
    <t>SD1</t>
  </si>
  <si>
    <t>Sandıklı bus station</t>
  </si>
  <si>
    <t>BK1</t>
  </si>
  <si>
    <t>Bilecik bus station</t>
  </si>
  <si>
    <t>IP1</t>
  </si>
  <si>
    <t>Isparta bus station</t>
  </si>
  <si>
    <t>DJ1</t>
  </si>
  <si>
    <t>Bozüyük Sarar Pet Ofisi</t>
  </si>
  <si>
    <t>SR1</t>
  </si>
  <si>
    <t>Serik bus station</t>
  </si>
  <si>
    <t>AL1</t>
  </si>
  <si>
    <t>Alanya Bus Station</t>
  </si>
  <si>
    <t>GP1</t>
  </si>
  <si>
    <t>Gazipaşa bus station</t>
  </si>
  <si>
    <t>IG1</t>
  </si>
  <si>
    <t>Inegol bus station</t>
  </si>
  <si>
    <t>CB1</t>
  </si>
  <si>
    <t>Keçiborlu bus station</t>
  </si>
  <si>
    <t>DZCE</t>
  </si>
  <si>
    <t>JK</t>
  </si>
  <si>
    <t>TQ1</t>
  </si>
  <si>
    <t>Tekirdağ bus station</t>
  </si>
  <si>
    <t>MRME</t>
  </si>
  <si>
    <t>Marmaraereglisi</t>
  </si>
  <si>
    <t>MLKR</t>
  </si>
  <si>
    <t>Malkara</t>
  </si>
  <si>
    <t>QN1</t>
  </si>
  <si>
    <t>Keşan bus station</t>
  </si>
  <si>
    <t>SRKY</t>
  </si>
  <si>
    <t>Sarköy</t>
  </si>
  <si>
    <t>EDR</t>
  </si>
  <si>
    <t>OL1</t>
  </si>
  <si>
    <t>Çorlu bus station</t>
  </si>
  <si>
    <t>LW1</t>
  </si>
  <si>
    <t>Lüleburgaz bus station</t>
  </si>
  <si>
    <t>YY1</t>
  </si>
  <si>
    <t>Babaeski</t>
  </si>
  <si>
    <t>HVS</t>
  </si>
  <si>
    <t>Havsa</t>
  </si>
  <si>
    <t>UKP</t>
  </si>
  <si>
    <t>Uzunkopru</t>
  </si>
  <si>
    <t>MRTL</t>
  </si>
  <si>
    <t>Muratli</t>
  </si>
  <si>
    <t>OK1</t>
  </si>
  <si>
    <t>Çerkezköy bus station</t>
  </si>
  <si>
    <t>EO1</t>
  </si>
  <si>
    <t>Saray bus station</t>
  </si>
  <si>
    <t>IB1</t>
  </si>
  <si>
    <t>Vize bus station</t>
  </si>
  <si>
    <t>KLI</t>
  </si>
  <si>
    <t>Kirklareli</t>
  </si>
  <si>
    <t>CN1</t>
  </si>
  <si>
    <t>Çanakkale bus station</t>
  </si>
  <si>
    <t>IAK</t>
  </si>
  <si>
    <t>Istanbul Aksaray</t>
  </si>
  <si>
    <t>AK1</t>
  </si>
  <si>
    <t>Aksaray bus station</t>
  </si>
  <si>
    <t>IK1</t>
  </si>
  <si>
    <t>Iskenderun bus station</t>
  </si>
  <si>
    <t>AKIS</t>
  </si>
  <si>
    <t>Ankara Istanbul Yolu</t>
  </si>
  <si>
    <t>AKAN</t>
  </si>
  <si>
    <t>Ankara Anadolu Bulvari</t>
  </si>
  <si>
    <t>AKES</t>
  </si>
  <si>
    <t>AKYA</t>
  </si>
  <si>
    <t>Ankara Konya Yolu</t>
  </si>
  <si>
    <t>EK1</t>
  </si>
  <si>
    <t>Eskişehir TCDD train station</t>
  </si>
  <si>
    <t>Eskişehir TCDD Gar</t>
  </si>
  <si>
    <t>BB1</t>
  </si>
  <si>
    <t>İstanbul Bakırköy</t>
  </si>
  <si>
    <t>EN1</t>
  </si>
  <si>
    <t>Ereğli-Kdz bus station</t>
  </si>
  <si>
    <t>KB1</t>
  </si>
  <si>
    <t>Kozlu bus station</t>
  </si>
  <si>
    <t>ZG1</t>
  </si>
  <si>
    <t>Zonguldak bus station</t>
  </si>
  <si>
    <t>SE1</t>
  </si>
  <si>
    <t>Söke bus station</t>
  </si>
  <si>
    <t>MS1</t>
  </si>
  <si>
    <t>Milas bus station</t>
  </si>
  <si>
    <t>VC1</t>
  </si>
  <si>
    <t>Güvercinlik bus station</t>
  </si>
  <si>
    <t>ES1</t>
  </si>
  <si>
    <t>KR1</t>
  </si>
  <si>
    <t>Karabuk bus station</t>
  </si>
  <si>
    <t>KT1</t>
  </si>
  <si>
    <t>Kastamonu bus station</t>
  </si>
  <si>
    <t>SN1</t>
  </si>
  <si>
    <t>Sinop bus station</t>
  </si>
  <si>
    <t>KK1</t>
  </si>
  <si>
    <t>Kozcağız bus station</t>
  </si>
  <si>
    <t>GR1</t>
  </si>
  <si>
    <t>Gerze bus station</t>
  </si>
  <si>
    <t>MT1</t>
  </si>
  <si>
    <t>Mengen (Bolu)</t>
  </si>
  <si>
    <t>FL1</t>
  </si>
  <si>
    <t>Erfelek bus station</t>
  </si>
  <si>
    <t>TP1</t>
  </si>
  <si>
    <t>Taşköprü bus station</t>
  </si>
  <si>
    <t>SF1</t>
  </si>
  <si>
    <t>Safranbolu bus station</t>
  </si>
  <si>
    <t>GL1</t>
  </si>
  <si>
    <t>Acıgöl bus station</t>
  </si>
  <si>
    <t>YG1</t>
  </si>
  <si>
    <t>Yozgat bus station</t>
  </si>
  <si>
    <t>VN1</t>
  </si>
  <si>
    <t>Van bus station</t>
  </si>
  <si>
    <t>UA1</t>
  </si>
  <si>
    <t>Uşak bus station</t>
  </si>
  <si>
    <t>TZ1</t>
  </si>
  <si>
    <t>Trabzon bus station</t>
  </si>
  <si>
    <t>TK1</t>
  </si>
  <si>
    <t>Tokat bus station</t>
  </si>
  <si>
    <t>AD1</t>
  </si>
  <si>
    <t>Adana bus station</t>
  </si>
  <si>
    <t>TS1</t>
  </si>
  <si>
    <t>Tarsus bus station</t>
  </si>
  <si>
    <t>AF1</t>
  </si>
  <si>
    <t>Afyon bus station</t>
  </si>
  <si>
    <t>AG1</t>
  </si>
  <si>
    <t>Ağrı bus station</t>
  </si>
  <si>
    <t>BY1</t>
  </si>
  <si>
    <t>Bursa Yıldırım</t>
  </si>
  <si>
    <t>SV1</t>
  </si>
  <si>
    <t>Sivas bus station</t>
  </si>
  <si>
    <t>AM1</t>
  </si>
  <si>
    <t>Amasya bus station</t>
  </si>
  <si>
    <t>SS1</t>
  </si>
  <si>
    <t>Samsun bus station</t>
  </si>
  <si>
    <t>RZ1</t>
  </si>
  <si>
    <t>Rize bus station</t>
  </si>
  <si>
    <t>AY1</t>
  </si>
  <si>
    <t>Aydın bus station</t>
  </si>
  <si>
    <t>BG1</t>
  </si>
  <si>
    <t>Bingöl bus station</t>
  </si>
  <si>
    <t>BI1</t>
  </si>
  <si>
    <t>Bitlis bus station</t>
  </si>
  <si>
    <t>CO1</t>
  </si>
  <si>
    <t>Çorum bus station</t>
  </si>
  <si>
    <t>DN1</t>
  </si>
  <si>
    <t>Denizli bus station</t>
  </si>
  <si>
    <t>AB1</t>
  </si>
  <si>
    <t>Akçaabat bus station</t>
  </si>
  <si>
    <t>YS1</t>
  </si>
  <si>
    <t>Yenişehir (Bursa) bus station</t>
  </si>
  <si>
    <t>OS1</t>
  </si>
  <si>
    <t>Osmaniye bus station</t>
  </si>
  <si>
    <t>OR1</t>
  </si>
  <si>
    <t>Ordu bus station</t>
  </si>
  <si>
    <t>NI1</t>
  </si>
  <si>
    <t>Niğde bus station</t>
  </si>
  <si>
    <t>UR1</t>
  </si>
  <si>
    <t>Urla bus station</t>
  </si>
  <si>
    <t>NE1</t>
  </si>
  <si>
    <t>Nevşehir bus station</t>
  </si>
  <si>
    <t>MU1</t>
  </si>
  <si>
    <t>Muş bus station</t>
  </si>
  <si>
    <t>UN1</t>
  </si>
  <si>
    <t>Ünye bus station</t>
  </si>
  <si>
    <t>AH1</t>
  </si>
  <si>
    <t>Akhisar bus station</t>
  </si>
  <si>
    <t>MG1</t>
  </si>
  <si>
    <t>Muğla bus station</t>
  </si>
  <si>
    <t>AS1</t>
  </si>
  <si>
    <t>Akşehir bus station</t>
  </si>
  <si>
    <t>TH1</t>
  </si>
  <si>
    <t>Turhal bus station</t>
  </si>
  <si>
    <t>ME1</t>
  </si>
  <si>
    <t>Mersin bus station</t>
  </si>
  <si>
    <t>EZ1</t>
  </si>
  <si>
    <t>Elazığ bus station</t>
  </si>
  <si>
    <t>AI1</t>
  </si>
  <si>
    <t>Alaşehir bus station</t>
  </si>
  <si>
    <t>TG1</t>
  </si>
  <si>
    <t>Turgutlu bus station</t>
  </si>
  <si>
    <t>MA1</t>
  </si>
  <si>
    <t>Manisa bus station</t>
  </si>
  <si>
    <t>GA1</t>
  </si>
  <si>
    <t>Aliağa bus station</t>
  </si>
  <si>
    <t>EC1</t>
  </si>
  <si>
    <t>Erzincan bus station</t>
  </si>
  <si>
    <t>TM1</t>
  </si>
  <si>
    <t>Terme bus station</t>
  </si>
  <si>
    <t>MN1</t>
  </si>
  <si>
    <t>Manavgat bus station</t>
  </si>
  <si>
    <t>YK1</t>
  </si>
  <si>
    <t>Aliağa Yeni Şakran</t>
  </si>
  <si>
    <t>ER1</t>
  </si>
  <si>
    <t>Erzurum bus station</t>
  </si>
  <si>
    <t>HV1</t>
  </si>
  <si>
    <t>Arhavi bus station</t>
  </si>
  <si>
    <t>ML1</t>
  </si>
  <si>
    <t>Malatya bus station</t>
  </si>
  <si>
    <t>AV1</t>
  </si>
  <si>
    <t>Artvin bus station</t>
  </si>
  <si>
    <t>TY1</t>
  </si>
  <si>
    <t>Tekkeköy bus station</t>
  </si>
  <si>
    <t>KU1</t>
  </si>
  <si>
    <t>Kütahya bus station</t>
  </si>
  <si>
    <t>AA1</t>
  </si>
  <si>
    <t>Ayvalık bus station</t>
  </si>
  <si>
    <t>BF1</t>
  </si>
  <si>
    <t>Bafra bus station</t>
  </si>
  <si>
    <t>TV1</t>
  </si>
  <si>
    <t>Tavşanlı bus station</t>
  </si>
  <si>
    <t>BD1</t>
  </si>
  <si>
    <t>Bandırma bus station</t>
  </si>
  <si>
    <t>BA1</t>
  </si>
  <si>
    <t>Bartın bus station</t>
  </si>
  <si>
    <t>TT1</t>
  </si>
  <si>
    <t>Tatvan bus station</t>
  </si>
  <si>
    <t>SG1</t>
  </si>
  <si>
    <t>Sorgun bus station</t>
  </si>
  <si>
    <t>GZ1</t>
  </si>
  <si>
    <t>Gaziantep bus station</t>
  </si>
  <si>
    <t>KO1</t>
  </si>
  <si>
    <t>Konya bus station</t>
  </si>
  <si>
    <t>SL1</t>
  </si>
  <si>
    <t>Salihli bus station</t>
  </si>
  <si>
    <t>Kocaeli bus station</t>
  </si>
  <si>
    <t>KI1</t>
  </si>
  <si>
    <t>Kırşehir bus station</t>
  </si>
  <si>
    <t>GN1</t>
  </si>
  <si>
    <t>Giresun bus station</t>
  </si>
  <si>
    <t>PL1</t>
  </si>
  <si>
    <t>Polatlı bus station</t>
  </si>
  <si>
    <t>HT1</t>
  </si>
  <si>
    <t>Hatay bus station</t>
  </si>
  <si>
    <t>PN1</t>
  </si>
  <si>
    <t>Patnos bus station</t>
  </si>
  <si>
    <t>BS1</t>
  </si>
  <si>
    <t>Beyşehir bus station</t>
  </si>
  <si>
    <t>OT1</t>
  </si>
  <si>
    <t>Ortaca bus station</t>
  </si>
  <si>
    <t>IV1</t>
  </si>
  <si>
    <t>İstanbul Avcılar</t>
  </si>
  <si>
    <t>OG1</t>
  </si>
  <si>
    <t>Orhangazi bus station</t>
  </si>
  <si>
    <t>GG1</t>
  </si>
  <si>
    <t>Biga bus station</t>
  </si>
  <si>
    <t>NZ1</t>
  </si>
  <si>
    <t>Nazilli bus station</t>
  </si>
  <si>
    <t>BE1</t>
  </si>
  <si>
    <t>Istanbul Büyükcekmece</t>
  </si>
  <si>
    <t>BM1</t>
  </si>
  <si>
    <t>Bodrum bus station</t>
  </si>
  <si>
    <t>MD1</t>
  </si>
  <si>
    <t>Mudanya bus station</t>
  </si>
  <si>
    <t>BN1</t>
  </si>
  <si>
    <t>Bor bus station</t>
  </si>
  <si>
    <t>BZ1</t>
  </si>
  <si>
    <t>Bozüyük bus station</t>
  </si>
  <si>
    <t>MZ1</t>
  </si>
  <si>
    <t>Merzifon bus station</t>
  </si>
  <si>
    <t>BC1</t>
  </si>
  <si>
    <t>Bucak bus station</t>
  </si>
  <si>
    <t>MM1</t>
  </si>
  <si>
    <t>Menemen bus station</t>
  </si>
  <si>
    <t>GB1</t>
  </si>
  <si>
    <t>Bulancak bus station</t>
  </si>
  <si>
    <t>KH1</t>
  </si>
  <si>
    <t>Kahramanmaraş bus station</t>
  </si>
  <si>
    <t>MR1</t>
  </si>
  <si>
    <t>Marmaris bus station</t>
  </si>
  <si>
    <t>NY1</t>
  </si>
  <si>
    <t>Burhaniye bus station</t>
  </si>
  <si>
    <t>MK1</t>
  </si>
  <si>
    <t>M.Kemal Paşa bus station</t>
  </si>
  <si>
    <t>KA1</t>
  </si>
  <si>
    <t>Burhaniye Karaağaç roadside station</t>
  </si>
  <si>
    <t>Burhaniye Karaağaç Sapak</t>
  </si>
  <si>
    <t>KM1</t>
  </si>
  <si>
    <t>Karaman bus station</t>
  </si>
  <si>
    <t>KY1</t>
  </si>
  <si>
    <t>Kayseri bus station</t>
  </si>
  <si>
    <t>KD1</t>
  </si>
  <si>
    <t>Kuşadası bus station</t>
  </si>
  <si>
    <t>KE1</t>
  </si>
  <si>
    <t>Kırıkkale bus station</t>
  </si>
  <si>
    <t>EI1</t>
  </si>
  <si>
    <t>Erciş bus station</t>
  </si>
  <si>
    <t>QL1</t>
  </si>
  <si>
    <t>Kulu bus station</t>
  </si>
  <si>
    <t>KZ1</t>
  </si>
  <si>
    <t>Kozan bus station</t>
  </si>
  <si>
    <t>QT1</t>
  </si>
  <si>
    <t>Korkuteli bus station</t>
  </si>
  <si>
    <t>QH1</t>
  </si>
  <si>
    <t>Kırıkhan bus station</t>
  </si>
  <si>
    <t>EB1</t>
  </si>
  <si>
    <t>Erbaa bus station</t>
  </si>
  <si>
    <t>QS1</t>
  </si>
  <si>
    <t>Kaş bus station</t>
  </si>
  <si>
    <t>RC1</t>
  </si>
  <si>
    <t>Karacabey bus station</t>
  </si>
  <si>
    <t>RR1</t>
  </si>
  <si>
    <t>Karacabey Çatrak</t>
  </si>
  <si>
    <t>ED1</t>
  </si>
  <si>
    <t>Edremit bus station</t>
  </si>
  <si>
    <t>QD1</t>
  </si>
  <si>
    <t>Kadirli bus station</t>
  </si>
  <si>
    <t>IL1</t>
  </si>
  <si>
    <t>Ilgin bus station</t>
  </si>
  <si>
    <t>GH1</t>
  </si>
  <si>
    <t>Gümüşhane bus station</t>
  </si>
  <si>
    <t>GO1</t>
  </si>
  <si>
    <t>Gönen bus station</t>
  </si>
  <si>
    <t>GC1</t>
  </si>
  <si>
    <t>Gölcük bus station</t>
  </si>
  <si>
    <t>GK1</t>
  </si>
  <si>
    <t>Gemlik bus station</t>
  </si>
  <si>
    <t>FH1</t>
  </si>
  <si>
    <t>Fethiye bus station</t>
  </si>
  <si>
    <t>FS1</t>
  </si>
  <si>
    <t>Fatsa bus station</t>
  </si>
  <si>
    <t>DC1</t>
  </si>
  <si>
    <t>Düziçi Yarbaşı</t>
  </si>
  <si>
    <t>EY1</t>
  </si>
  <si>
    <t>Ereğli-Konya bus station</t>
  </si>
  <si>
    <t>DT1</t>
  </si>
  <si>
    <t>Dörtyol bus station</t>
  </si>
  <si>
    <t>DD1</t>
  </si>
  <si>
    <t>Didim bus station</t>
  </si>
  <si>
    <t>DR1</t>
  </si>
  <si>
    <t>Devrek bus station</t>
  </si>
  <si>
    <t>CV1</t>
  </si>
  <si>
    <t>Çivril bus station</t>
  </si>
  <si>
    <t>CH1</t>
  </si>
  <si>
    <t>Cihanbeyli bus station</t>
  </si>
  <si>
    <t>CY1</t>
  </si>
  <si>
    <t>Ceyhan bus station</t>
  </si>
  <si>
    <t>CA1</t>
  </si>
  <si>
    <t>Çaycuma bus station</t>
  </si>
  <si>
    <t>CR1</t>
  </si>
  <si>
    <t>Çarşamba bus station</t>
  </si>
  <si>
    <t>ZR1</t>
  </si>
  <si>
    <t>Zara bus station</t>
  </si>
  <si>
    <t>YE1</t>
  </si>
  <si>
    <t>Yıldızeli bus station</t>
  </si>
  <si>
    <t>YC1</t>
  </si>
  <si>
    <t>Yenice bus station (Çanakale)</t>
  </si>
  <si>
    <t>YA1</t>
  </si>
  <si>
    <t>Yeniçağa bus station</t>
  </si>
  <si>
    <t>YV1</t>
  </si>
  <si>
    <t>Yalvaç bus station</t>
  </si>
  <si>
    <t>OC1</t>
  </si>
  <si>
    <t>Akçakoca bus station</t>
  </si>
  <si>
    <t>CC1</t>
  </si>
  <si>
    <t>Akçay bus station</t>
  </si>
  <si>
    <t>DG1</t>
  </si>
  <si>
    <t>Akdağmadeni bus station</t>
  </si>
  <si>
    <t>EM1</t>
  </si>
  <si>
    <t>Erdemli bus station</t>
  </si>
  <si>
    <t>EG1</t>
  </si>
  <si>
    <t>Elmadağ bus station</t>
  </si>
  <si>
    <t>YT1</t>
  </si>
  <si>
    <t>Yatağan bus station</t>
  </si>
  <si>
    <t>VK1</t>
  </si>
  <si>
    <t>Vakfıkebir bus station</t>
  </si>
  <si>
    <t>UM1</t>
  </si>
  <si>
    <t>Ürkmez Merkez station</t>
  </si>
  <si>
    <t>Ürkmez Merkez</t>
  </si>
  <si>
    <t>UG1</t>
  </si>
  <si>
    <t>Ürgüp bus station</t>
  </si>
  <si>
    <t>ET1</t>
  </si>
  <si>
    <t>Emet bus station</t>
  </si>
  <si>
    <t>UB1</t>
  </si>
  <si>
    <t>Uluborlu bus station</t>
  </si>
  <si>
    <t>EA1</t>
  </si>
  <si>
    <t>Emirdağ bus station</t>
  </si>
  <si>
    <t>RK1</t>
  </si>
  <si>
    <t>Erdek bus station</t>
  </si>
  <si>
    <t>RN1</t>
  </si>
  <si>
    <t>Erzin bus station</t>
  </si>
  <si>
    <t>EP1</t>
  </si>
  <si>
    <t>Espiye bus station</t>
  </si>
  <si>
    <t>KN1</t>
  </si>
  <si>
    <t>Küçükkuyu bus station</t>
  </si>
  <si>
    <t>KV1</t>
  </si>
  <si>
    <t>Kula (Manisa) bus station</t>
  </si>
  <si>
    <t>LP1</t>
  </si>
  <si>
    <t>Lapseki bus station</t>
  </si>
  <si>
    <t>MC1</t>
  </si>
  <si>
    <t>Mucur bus station</t>
  </si>
  <si>
    <t>OF1</t>
  </si>
  <si>
    <t>Of bus station</t>
  </si>
  <si>
    <t>OM1</t>
  </si>
  <si>
    <t>Osmancık bus station</t>
  </si>
  <si>
    <t>OZ</t>
  </si>
  <si>
    <t>Özdere bus station</t>
  </si>
  <si>
    <t>PZ1</t>
  </si>
  <si>
    <t>Pazar bus station</t>
  </si>
  <si>
    <t>PE1</t>
  </si>
  <si>
    <t>Perşembe bus station</t>
  </si>
  <si>
    <t>SA1</t>
  </si>
  <si>
    <t>Salihleraltı bus station</t>
  </si>
  <si>
    <t>SY1</t>
  </si>
  <si>
    <t>Sarayköy bus station</t>
  </si>
  <si>
    <t>LL1</t>
  </si>
  <si>
    <t>Sarımsaklı bus station</t>
  </si>
  <si>
    <t>SI1</t>
  </si>
  <si>
    <t>Şarkikaraağaç bus station</t>
  </si>
  <si>
    <t>SZ1</t>
  </si>
  <si>
    <t>Şarkışla bus station</t>
  </si>
  <si>
    <t>SX1</t>
  </si>
  <si>
    <t>Seferihisar bus station</t>
  </si>
  <si>
    <t>SJ1</t>
  </si>
  <si>
    <t>Selçuk bus station</t>
  </si>
  <si>
    <t>LA1</t>
  </si>
  <si>
    <t>Alaca bus station</t>
  </si>
  <si>
    <t>LC1</t>
  </si>
  <si>
    <t>Alaçam bus station</t>
  </si>
  <si>
    <t>LI1</t>
  </si>
  <si>
    <t>Alaplı bus station</t>
  </si>
  <si>
    <t>ST1</t>
  </si>
  <si>
    <t>Senirkent bus station</t>
  </si>
  <si>
    <t>SH1</t>
  </si>
  <si>
    <t>Solhan bus station</t>
  </si>
  <si>
    <t>SO1</t>
  </si>
  <si>
    <t>Suluova bus station</t>
  </si>
  <si>
    <t>GU1</t>
  </si>
  <si>
    <t>Sungurlu bus station</t>
  </si>
  <si>
    <t>RM1</t>
  </si>
  <si>
    <t>Trabzon Sürmene</t>
  </si>
  <si>
    <t>US1</t>
  </si>
  <si>
    <t>Suşehri bus station</t>
  </si>
  <si>
    <t>ZN1</t>
  </si>
  <si>
    <t>Ezine bus station</t>
  </si>
  <si>
    <t>IN1</t>
  </si>
  <si>
    <t>Altınoluk bus station</t>
  </si>
  <si>
    <t>TI1</t>
  </si>
  <si>
    <t>Altınova bus station</t>
  </si>
  <si>
    <t>LB1</t>
  </si>
  <si>
    <t>Gelibolu bus station</t>
  </si>
  <si>
    <t>SM1</t>
  </si>
  <si>
    <t>Amasra bus station</t>
  </si>
  <si>
    <t>LU1</t>
  </si>
  <si>
    <t>Susurluk bus station</t>
  </si>
  <si>
    <t>GV1</t>
  </si>
  <si>
    <t>Gevaş bus station</t>
  </si>
  <si>
    <t>GY1</t>
  </si>
  <si>
    <t>Geyikli bus station</t>
  </si>
  <si>
    <t>GI1</t>
  </si>
  <si>
    <t>Geyikli İskele</t>
  </si>
  <si>
    <t>TA1</t>
  </si>
  <si>
    <t>Tavas bus station</t>
  </si>
  <si>
    <t>TN1</t>
  </si>
  <si>
    <t>Tefenni bus station</t>
  </si>
  <si>
    <t>TB1</t>
  </si>
  <si>
    <t>Tirebolu bus station</t>
  </si>
  <si>
    <t>RL1</t>
  </si>
  <si>
    <t>Görele bus station</t>
  </si>
  <si>
    <t>OY1</t>
  </si>
  <si>
    <t>Tosya bus station</t>
  </si>
  <si>
    <t>GM1</t>
  </si>
  <si>
    <t>Göreme bus station</t>
  </si>
  <si>
    <t>GS1</t>
  </si>
  <si>
    <t>Gülşehir bus station</t>
  </si>
  <si>
    <t>UY1</t>
  </si>
  <si>
    <t>Güroymak bus station</t>
  </si>
  <si>
    <t>NG1</t>
  </si>
  <si>
    <t>Gürün bus station</t>
  </si>
  <si>
    <t>HB1</t>
  </si>
  <si>
    <t>Hacıbektaş bus station</t>
  </si>
  <si>
    <t>HZ1</t>
  </si>
  <si>
    <t>Havza bus station</t>
  </si>
  <si>
    <t>HP1</t>
  </si>
  <si>
    <t>Hopa bus station</t>
  </si>
  <si>
    <t>IM1</t>
  </si>
  <si>
    <t>İmamoğlu bus station</t>
  </si>
  <si>
    <t>IR1</t>
  </si>
  <si>
    <t>İmranlı bus station</t>
  </si>
  <si>
    <t>SP1</t>
  </si>
  <si>
    <t>İspir bus station</t>
  </si>
  <si>
    <t>IY1</t>
  </si>
  <si>
    <t>İyidere köprü</t>
  </si>
  <si>
    <t>ZK1</t>
  </si>
  <si>
    <t>İznik bus station</t>
  </si>
  <si>
    <t>RA1</t>
  </si>
  <si>
    <t>Araç bus station</t>
  </si>
  <si>
    <t>RD1</t>
  </si>
  <si>
    <t>Ardeşen bus station</t>
  </si>
  <si>
    <t>AN1</t>
  </si>
  <si>
    <t>Kalkan bus station</t>
  </si>
  <si>
    <t>RT1</t>
  </si>
  <si>
    <t>Artur bus station</t>
  </si>
  <si>
    <t>KP1</t>
  </si>
  <si>
    <t>Karapınar bus station</t>
  </si>
  <si>
    <t>VA1</t>
  </si>
  <si>
    <t>Kavak bus station</t>
  </si>
  <si>
    <t>QY1</t>
  </si>
  <si>
    <t>Kayaş Çalışkan</t>
  </si>
  <si>
    <t>QV1</t>
  </si>
  <si>
    <t>Kovancılar bus station</t>
  </si>
  <si>
    <t>KG1</t>
  </si>
  <si>
    <t>Köyceğiz bus station</t>
  </si>
  <si>
    <t>KQ1</t>
  </si>
  <si>
    <t>Aşkale bus station</t>
  </si>
  <si>
    <t>AQ1</t>
  </si>
  <si>
    <t>Avanos bus station</t>
  </si>
  <si>
    <t>BQ1</t>
  </si>
  <si>
    <t>Belek bus station</t>
  </si>
  <si>
    <t>QB1</t>
  </si>
  <si>
    <t>Beşikdüzü bus station</t>
  </si>
  <si>
    <t>QO1</t>
  </si>
  <si>
    <t>Bolvadin bus station</t>
  </si>
  <si>
    <t>QA1</t>
  </si>
  <si>
    <t>Boyabat bus station</t>
  </si>
  <si>
    <t>UQ1</t>
  </si>
  <si>
    <t>Buldan bus station</t>
  </si>
  <si>
    <t>QC1</t>
  </si>
  <si>
    <t>Çan bus station</t>
  </si>
  <si>
    <t>QR1</t>
  </si>
  <si>
    <t>Çandarlı bus station</t>
  </si>
  <si>
    <t>QI1</t>
  </si>
  <si>
    <t>Çarşıbaşı bus station</t>
  </si>
  <si>
    <t>VQ1</t>
  </si>
  <si>
    <t>Çavdır bus station</t>
  </si>
  <si>
    <t>TX1</t>
  </si>
  <si>
    <t>Çay bus station</t>
  </si>
  <si>
    <t>CL1</t>
  </si>
  <si>
    <t>Çayeli bus station</t>
  </si>
  <si>
    <t>CM1</t>
  </si>
  <si>
    <t>Çeşme bus station</t>
  </si>
  <si>
    <t>CT1</t>
  </si>
  <si>
    <t>Çeşme Alaçatı bus station</t>
  </si>
  <si>
    <t>CI1</t>
  </si>
  <si>
    <t>Çeşme Ilıca bus station</t>
  </si>
  <si>
    <t>CW1</t>
  </si>
  <si>
    <t>Cide bus station</t>
  </si>
  <si>
    <t>CF1</t>
  </si>
  <si>
    <t>CE1</t>
  </si>
  <si>
    <t>Çine bus station</t>
  </si>
  <si>
    <t>DL1</t>
  </si>
  <si>
    <t>Dalaman bus station</t>
  </si>
  <si>
    <t>DX1</t>
  </si>
  <si>
    <t>Darende bus station</t>
  </si>
  <si>
    <t>DW1</t>
  </si>
  <si>
    <t>Datça bus station</t>
  </si>
  <si>
    <t>DV1</t>
  </si>
  <si>
    <t>Dikili bus station</t>
  </si>
  <si>
    <t>TY3</t>
  </si>
  <si>
    <t>Taytem rest station</t>
  </si>
  <si>
    <t>Taytem Dinlenme Tesisi</t>
  </si>
  <si>
    <t>DS1</t>
  </si>
  <si>
    <t>Dinar  bus station</t>
  </si>
  <si>
    <t>EX1</t>
  </si>
  <si>
    <t>Eğirdir bus station</t>
  </si>
  <si>
    <t>EV1</t>
  </si>
  <si>
    <t>Eleşkirt bus station</t>
  </si>
  <si>
    <t>TE2</t>
  </si>
  <si>
    <t>Taytem DO NOT USE</t>
  </si>
  <si>
    <t>SP3</t>
  </si>
  <si>
    <t>Suit Park rest station</t>
  </si>
  <si>
    <t>Suit Park Dinlenme Tesisi</t>
  </si>
  <si>
    <t>KG3</t>
  </si>
  <si>
    <t>Cankaragül rest station</t>
  </si>
  <si>
    <t>Cankaragül Dinlenme Tesisi</t>
  </si>
  <si>
    <t>AD3</t>
  </si>
  <si>
    <t>Adalya rest station</t>
  </si>
  <si>
    <t>Adalya Dinlenme Tesisi</t>
  </si>
  <si>
    <t>GP3</t>
  </si>
  <si>
    <t>Güneşpark rest station</t>
  </si>
  <si>
    <t>Güneşpark Dinlenme Tesisi</t>
  </si>
  <si>
    <t>MK3</t>
  </si>
  <si>
    <t>Mavikent rest station</t>
  </si>
  <si>
    <t>Mavikent Dinlenme Tesisi</t>
  </si>
  <si>
    <t>UN3</t>
  </si>
  <si>
    <t>Unova rest station</t>
  </si>
  <si>
    <t>Unova Dinlenme Tesisi</t>
  </si>
  <si>
    <t>GU3</t>
  </si>
  <si>
    <t>Günaydın rest station</t>
  </si>
  <si>
    <t>Günaydın Dinlenme Tesisi</t>
  </si>
  <si>
    <t>IT3</t>
  </si>
  <si>
    <t>Ilhan Tan rest station</t>
  </si>
  <si>
    <t>Ilhan Tan Dinlenme Tesisi</t>
  </si>
  <si>
    <t>IR3</t>
  </si>
  <si>
    <t>Irmak rest station</t>
  </si>
  <si>
    <t>Irmak Dinlenme Tesisi</t>
  </si>
  <si>
    <t>UX3</t>
  </si>
  <si>
    <t>Uşak DO NOT USE  rest station</t>
  </si>
  <si>
    <t>Uşak DO NOT USE  Dinlenme Tesisi</t>
  </si>
  <si>
    <t>CK3</t>
  </si>
  <si>
    <t>Can Kapadokya rest station</t>
  </si>
  <si>
    <t>Can Kapadokya Dinlenme Tesisi</t>
  </si>
  <si>
    <t>OM3</t>
  </si>
  <si>
    <t>Ömür rest station</t>
  </si>
  <si>
    <t>Ömür Dinlenme Tesisi</t>
  </si>
  <si>
    <t>AK3</t>
  </si>
  <si>
    <t>Akbak rest station</t>
  </si>
  <si>
    <t>Akbak Dinlenme Tesisi</t>
  </si>
  <si>
    <t>TT3</t>
  </si>
  <si>
    <t>Tuna Tan rest station</t>
  </si>
  <si>
    <t>Tuna Tan Dinlenme Tesisi</t>
  </si>
  <si>
    <t>AL3</t>
  </si>
  <si>
    <t>Alışkan rest station</t>
  </si>
  <si>
    <t>Alışkan Dinlenme Tesisi</t>
  </si>
  <si>
    <t>DR3</t>
  </si>
  <si>
    <t>Derindere rest station</t>
  </si>
  <si>
    <t>Derindere Dinlenme Tesisi</t>
  </si>
  <si>
    <t>ER3</t>
  </si>
  <si>
    <t>Erdem rest station</t>
  </si>
  <si>
    <t>Erdem Dinlenme Tesisi</t>
  </si>
  <si>
    <t>AF3</t>
  </si>
  <si>
    <t>Afyon Kamil Koç rest station</t>
  </si>
  <si>
    <t>Afyon Kamil Koç Dinlenme Tesisi</t>
  </si>
  <si>
    <t>NK3</t>
  </si>
  <si>
    <t>Namık Kemal Yaypet rest station</t>
  </si>
  <si>
    <t>Namık Kemal Yaypet Dinlenme Tesisi</t>
  </si>
  <si>
    <t>EN3</t>
  </si>
  <si>
    <t>Ender rest station</t>
  </si>
  <si>
    <t>Ender Dinlenme Tesisi</t>
  </si>
  <si>
    <t>HK3</t>
  </si>
  <si>
    <t>Hak rest station</t>
  </si>
  <si>
    <t>Hak Dinlenme Tesisi</t>
  </si>
  <si>
    <t>ES3</t>
  </si>
  <si>
    <t>Eskişehir Otobüs Terminali rest stop</t>
  </si>
  <si>
    <t>TN3</t>
  </si>
  <si>
    <t>Tuanna rest station</t>
  </si>
  <si>
    <t>Tuanna Dinlenme Tesisi</t>
  </si>
  <si>
    <t>BS3</t>
  </si>
  <si>
    <t>Başkent rest station</t>
  </si>
  <si>
    <t>Başkent Dinlenme Tesisi</t>
  </si>
  <si>
    <t>HU3</t>
  </si>
  <si>
    <t>Hüsem rest station</t>
  </si>
  <si>
    <t>Hüsem Dinlenme Tesisi</t>
  </si>
  <si>
    <t>BK3</t>
  </si>
  <si>
    <t>Baktat Egemen rest station</t>
  </si>
  <si>
    <t>Baktat Egemen Dinlenme Tesisi</t>
  </si>
  <si>
    <t>AT3</t>
  </si>
  <si>
    <t>Altuğlar rest station</t>
  </si>
  <si>
    <t>Altuğlar Dinlenme Tesisi</t>
  </si>
  <si>
    <t>KP3</t>
  </si>
  <si>
    <t>Kral Park rest station</t>
  </si>
  <si>
    <t>Kral Park Dinlenme Tesisi</t>
  </si>
  <si>
    <t>AB3</t>
  </si>
  <si>
    <t>Ali Bilir rest station</t>
  </si>
  <si>
    <t>Ali Bilir Dinlenme Tesisi</t>
  </si>
  <si>
    <t>DD3</t>
  </si>
  <si>
    <t>Dadaş rest station</t>
  </si>
  <si>
    <t>Dadaş Dinlenme Tesisi</t>
  </si>
  <si>
    <t>TR3</t>
  </si>
  <si>
    <t>Ayvalık Truva Park rest station</t>
  </si>
  <si>
    <t>Ayvalık Truva Park Dinlenme Tesisi</t>
  </si>
  <si>
    <t>CO3</t>
  </si>
  <si>
    <t>Coşkun Restaurant Dinlenme Tesisi</t>
  </si>
  <si>
    <t>ZP3</t>
  </si>
  <si>
    <t>Zorlu Park rest station</t>
  </si>
  <si>
    <t>Zorlu Park Dinlenme Tesisi</t>
  </si>
  <si>
    <t>AS3</t>
  </si>
  <si>
    <t>Aktaş rest station</t>
  </si>
  <si>
    <t>Aktaş Dinlenme Tesisi</t>
  </si>
  <si>
    <t>YU3</t>
  </si>
  <si>
    <t>Yükseller rest station</t>
  </si>
  <si>
    <t>Yükseller Dinlenme Tesisi</t>
  </si>
  <si>
    <t>SE3</t>
  </si>
  <si>
    <t>Sevilpark rest station</t>
  </si>
  <si>
    <t>Sevilpark Dinlenme Tesisi</t>
  </si>
  <si>
    <t>KB3</t>
  </si>
  <si>
    <t>Kirazlıbahçe rest station</t>
  </si>
  <si>
    <t>Kirazlıbahçe Dinlenme Tesisi</t>
  </si>
  <si>
    <t>CL3</t>
  </si>
  <si>
    <t>Çalhan rest station</t>
  </si>
  <si>
    <t>Çalhan Dinlenme Tesisi</t>
  </si>
  <si>
    <t>MA3</t>
  </si>
  <si>
    <t>Mustafa Atik rest station</t>
  </si>
  <si>
    <t>Mustafa Atik Dinlenme Tesisi</t>
  </si>
  <si>
    <t>KY3</t>
  </si>
  <si>
    <t>Kazim Yay rest station</t>
  </si>
  <si>
    <t>Kazim Yay Dinlenme Tesisi</t>
  </si>
  <si>
    <t>DY3</t>
  </si>
  <si>
    <t>Doğruyol rest station</t>
  </si>
  <si>
    <t>Doğruyol Dinlenme Tesisi</t>
  </si>
  <si>
    <t>YB1</t>
  </si>
  <si>
    <t>Gökçebey Sapak roadside station</t>
  </si>
  <si>
    <t>LR1</t>
  </si>
  <si>
    <t>Trabzon Araklı</t>
  </si>
  <si>
    <t>IC1</t>
  </si>
  <si>
    <t>Çanakkale İskele Meydan</t>
  </si>
  <si>
    <t>KX1</t>
  </si>
  <si>
    <t>Karamürsel bus station</t>
  </si>
  <si>
    <t>TW1</t>
  </si>
  <si>
    <t>Toprakcuma roadside station</t>
  </si>
  <si>
    <t>Toprakcuma Sapak</t>
  </si>
  <si>
    <t>IQ1</t>
  </si>
  <si>
    <t>İğdir (Kastamonu)</t>
  </si>
  <si>
    <t>PX1</t>
  </si>
  <si>
    <t>Alanya Mahmutlar</t>
  </si>
  <si>
    <t>BH1</t>
  </si>
  <si>
    <t>Gökbahçe roadside station</t>
  </si>
  <si>
    <t>Gökbahçe Sapak</t>
  </si>
  <si>
    <t>ON1</t>
  </si>
  <si>
    <t>Karaören roadside station</t>
  </si>
  <si>
    <t>Karaören Sapak</t>
  </si>
  <si>
    <t>QE1</t>
  </si>
  <si>
    <t>Kümbet roadside station</t>
  </si>
  <si>
    <t>Kümbet Sapak</t>
  </si>
  <si>
    <t>QQ1</t>
  </si>
  <si>
    <t>Kırka roadside station</t>
  </si>
  <si>
    <t>Kırka Sapak</t>
  </si>
  <si>
    <t>CG1</t>
  </si>
  <si>
    <t>Seyitgazi roadside station</t>
  </si>
  <si>
    <t>Seyitgazi Sapak</t>
  </si>
  <si>
    <t>ZL1</t>
  </si>
  <si>
    <t>Gazlıgöl roadside station</t>
  </si>
  <si>
    <t>Gazlıgöl Sapak</t>
  </si>
  <si>
    <t>HI1</t>
  </si>
  <si>
    <t>Hisarcik</t>
  </si>
  <si>
    <t>YQ1</t>
  </si>
  <si>
    <t>Hüyük roadside station</t>
  </si>
  <si>
    <t>Hüyük Sapak</t>
  </si>
  <si>
    <t>VX1</t>
  </si>
  <si>
    <t>Banaz</t>
  </si>
  <si>
    <t>BX1</t>
  </si>
  <si>
    <t>Bergama Bus Station</t>
  </si>
  <si>
    <t>AP1</t>
  </si>
  <si>
    <t>Istanbul Beylikdüzü</t>
  </si>
  <si>
    <t>PY1</t>
  </si>
  <si>
    <t>Payas bus station</t>
  </si>
  <si>
    <t>AO1</t>
  </si>
  <si>
    <t>Akyaka Go Petrol / Muğla Yönü</t>
  </si>
  <si>
    <t>UL1</t>
  </si>
  <si>
    <t>Umurlu merkez</t>
  </si>
  <si>
    <t>QZ1</t>
  </si>
  <si>
    <t>Köşk merkez</t>
  </si>
  <si>
    <t>SU1</t>
  </si>
  <si>
    <t>Sultanhisar merkez</t>
  </si>
  <si>
    <t>YP1</t>
  </si>
  <si>
    <t>Yenipazar yol üzeri</t>
  </si>
  <si>
    <t>AC1</t>
  </si>
  <si>
    <t>Atça merkez</t>
  </si>
  <si>
    <t>IS1</t>
  </si>
  <si>
    <t>İsabeyli Merkez</t>
  </si>
  <si>
    <t>UX1</t>
  </si>
  <si>
    <t>Kuyucak merkez</t>
  </si>
  <si>
    <t>XX1</t>
  </si>
  <si>
    <t>Karacasu merkez</t>
  </si>
  <si>
    <t>AE1</t>
  </si>
  <si>
    <t>Ataeymir merkez</t>
  </si>
  <si>
    <t>HS1</t>
  </si>
  <si>
    <t>Karahisar merkez</t>
  </si>
  <si>
    <t>BW1</t>
  </si>
  <si>
    <t>Kızılcabölük merkez</t>
  </si>
  <si>
    <t>YR1</t>
  </si>
  <si>
    <t>Yahsiler merkez</t>
  </si>
  <si>
    <t>QX1</t>
  </si>
  <si>
    <t>Acıpayam bus station</t>
  </si>
  <si>
    <t>QP1</t>
  </si>
  <si>
    <t>Kırıkhan Topboğazı</t>
  </si>
  <si>
    <t>MV1</t>
  </si>
  <si>
    <t>Didim Mavisehir</t>
  </si>
  <si>
    <t>UU1</t>
  </si>
  <si>
    <t>Gümüldür merkez</t>
  </si>
  <si>
    <t>AJ1</t>
  </si>
  <si>
    <t>Ahlat bus station</t>
  </si>
  <si>
    <t>DA1</t>
  </si>
  <si>
    <t>Turgutreis bus station</t>
  </si>
  <si>
    <t>DB1</t>
  </si>
  <si>
    <t>Anamur bus station</t>
  </si>
  <si>
    <t>DE1</t>
  </si>
  <si>
    <t>Bafa bus station</t>
  </si>
  <si>
    <t>DH1</t>
  </si>
  <si>
    <t>Bayburt bus station</t>
  </si>
  <si>
    <t>DI1</t>
  </si>
  <si>
    <t>Bozdoğan bus station</t>
  </si>
  <si>
    <t>DK1</t>
  </si>
  <si>
    <t>Buharkent merkez</t>
  </si>
  <si>
    <t>DM1</t>
  </si>
  <si>
    <t>Bursa Şükraniye</t>
  </si>
  <si>
    <t>BJ1</t>
  </si>
  <si>
    <t>Bursa Otoban OPET</t>
  </si>
  <si>
    <t>BP1</t>
  </si>
  <si>
    <t>Bursa Ihsaniye</t>
  </si>
  <si>
    <t>DU1</t>
  </si>
  <si>
    <t>Amasra Cakraz</t>
  </si>
  <si>
    <t>CD1</t>
  </si>
  <si>
    <t>Çaldıran bus station</t>
  </si>
  <si>
    <t>CJ1</t>
  </si>
  <si>
    <t>Çankırı Merkez</t>
  </si>
  <si>
    <t>CP1</t>
  </si>
  <si>
    <t>Dalyan  merkez</t>
  </si>
  <si>
    <t>EL1</t>
  </si>
  <si>
    <t>Erdek BUDO ferry</t>
  </si>
  <si>
    <t>EU1</t>
  </si>
  <si>
    <t>Eynesil bus station</t>
  </si>
  <si>
    <t>CS1</t>
  </si>
  <si>
    <t>Gerede bus station</t>
  </si>
  <si>
    <t>DO1</t>
  </si>
  <si>
    <t>Gökova bus station</t>
  </si>
  <si>
    <t>DP1</t>
  </si>
  <si>
    <t>Gölhisar bus station</t>
  </si>
  <si>
    <t>EE1</t>
  </si>
  <si>
    <t>Güllük merkez</t>
  </si>
  <si>
    <t>EF1</t>
  </si>
  <si>
    <t>Güzelçamlı bus station</t>
  </si>
  <si>
    <t>EH1</t>
  </si>
  <si>
    <t>Hafik bus station</t>
  </si>
  <si>
    <t>EJ1</t>
  </si>
  <si>
    <t>Havran merkez</t>
  </si>
  <si>
    <t>FZ1</t>
  </si>
  <si>
    <t>Horasan merkez</t>
  </si>
  <si>
    <t>FQ1</t>
  </si>
  <si>
    <t>Horsonlu Merkez</t>
  </si>
  <si>
    <t>FY1</t>
  </si>
  <si>
    <t>Ilgaz Kavşak</t>
  </si>
  <si>
    <t>FX1</t>
  </si>
  <si>
    <t>Eskihisar ferry</t>
  </si>
  <si>
    <t>FW1</t>
  </si>
  <si>
    <t>Kadınhanı bus station</t>
  </si>
  <si>
    <t>FT1</t>
  </si>
  <si>
    <t>Karakoçan merkez</t>
  </si>
  <si>
    <t>FA1</t>
  </si>
  <si>
    <t>Karamanlı merkez</t>
  </si>
  <si>
    <t>FC1</t>
  </si>
  <si>
    <t>Keşap bus station</t>
  </si>
  <si>
    <t>FD1</t>
  </si>
  <si>
    <t>Kıreli merkez</t>
  </si>
  <si>
    <t>FM1</t>
  </si>
  <si>
    <t>Kurucaşile merkez</t>
  </si>
  <si>
    <t>KL3</t>
  </si>
  <si>
    <t>Kolaylı rest station</t>
  </si>
  <si>
    <t>Kolaylı Dinlenme Tesisi</t>
  </si>
  <si>
    <t>FG1</t>
  </si>
  <si>
    <t>Mercan merkez</t>
  </si>
  <si>
    <t>FI1</t>
  </si>
  <si>
    <t>Muradiye bus station</t>
  </si>
  <si>
    <t>FJ1</t>
  </si>
  <si>
    <t>Niksar bus station</t>
  </si>
  <si>
    <t>FK1</t>
  </si>
  <si>
    <t>Tercan merkez</t>
  </si>
  <si>
    <t>FO1</t>
  </si>
  <si>
    <t>Yenice bus station (Karabük)</t>
  </si>
  <si>
    <t>FR1</t>
  </si>
  <si>
    <t>Pamukören merkez</t>
  </si>
  <si>
    <t>GD1</t>
  </si>
  <si>
    <t>Pasinler merkez</t>
  </si>
  <si>
    <t>GF1</t>
  </si>
  <si>
    <t>Pınarcık merkez</t>
  </si>
  <si>
    <t>GJ1</t>
  </si>
  <si>
    <t>Refahiye bus station</t>
  </si>
  <si>
    <t>BP3</t>
  </si>
  <si>
    <t>Şereflikoçhisar Baskent Park rest station</t>
  </si>
  <si>
    <t>Şereflikoçhisar Baskent Park Dinlenme Tesisi</t>
  </si>
  <si>
    <t>HA1</t>
  </si>
  <si>
    <t>Sarıgöl bus station</t>
  </si>
  <si>
    <t>GW1</t>
  </si>
  <si>
    <t>Sarıkemer merkez</t>
  </si>
  <si>
    <t>HC1</t>
  </si>
  <si>
    <t>Şereflikoçhisar merkez</t>
  </si>
  <si>
    <t>HE1</t>
  </si>
  <si>
    <t>Serinhisar merkez</t>
  </si>
  <si>
    <t>HF1</t>
  </si>
  <si>
    <t>Seydişehir bus station</t>
  </si>
  <si>
    <t>HG1</t>
  </si>
  <si>
    <t>Sivaslı merkez</t>
  </si>
  <si>
    <t>HH1</t>
  </si>
  <si>
    <t>Torul merkez</t>
  </si>
  <si>
    <t>HJ1</t>
  </si>
  <si>
    <t>Trabzon Maçka</t>
  </si>
  <si>
    <t>HK1</t>
  </si>
  <si>
    <t>Trabzon Moloz</t>
  </si>
  <si>
    <t>HL1</t>
  </si>
  <si>
    <t>Tutak bus station</t>
  </si>
  <si>
    <t>YZ3</t>
  </si>
  <si>
    <t>Yildiz rest station</t>
  </si>
  <si>
    <t>Yildiz Dinlenme Tesisi</t>
  </si>
  <si>
    <t>HN1</t>
  </si>
  <si>
    <t>Yeşilova merkez</t>
  </si>
  <si>
    <t>HO1</t>
  </si>
  <si>
    <t>Selimiye merkez</t>
  </si>
  <si>
    <t>HR1</t>
  </si>
  <si>
    <t>Ortaköy bus station</t>
  </si>
  <si>
    <t>HY1</t>
  </si>
  <si>
    <t>Kale merkez</t>
  </si>
  <si>
    <t>HW1</t>
  </si>
  <si>
    <t>Pınarbaşı merkez</t>
  </si>
  <si>
    <t>OO1</t>
  </si>
  <si>
    <t>Piraziz bus station</t>
  </si>
  <si>
    <t>OA1</t>
  </si>
  <si>
    <t>Göcek bus station</t>
  </si>
  <si>
    <t>OB1</t>
  </si>
  <si>
    <t>Gölhisar sapak</t>
  </si>
  <si>
    <t>OD1</t>
  </si>
  <si>
    <t>İyidere Merkez</t>
  </si>
  <si>
    <t>UF1</t>
  </si>
  <si>
    <t>Borçka bus station</t>
  </si>
  <si>
    <t>OZ1</t>
  </si>
  <si>
    <t>Kayas Opet</t>
  </si>
  <si>
    <t>US3</t>
  </si>
  <si>
    <t>Uşak other rest station</t>
  </si>
  <si>
    <t>Uşak other Dinlenme Tesisi</t>
  </si>
  <si>
    <t>WQ1</t>
  </si>
  <si>
    <t>Dinar Merkez</t>
  </si>
  <si>
    <t>TU3</t>
  </si>
  <si>
    <t>Tuna Tan other rest station</t>
  </si>
  <si>
    <t>Tuna Tan other Dinlenme Tesisi</t>
  </si>
  <si>
    <t>JQ1</t>
  </si>
  <si>
    <t>DQ1</t>
  </si>
  <si>
    <t>Dikili Merkez</t>
  </si>
  <si>
    <t>CA3</t>
  </si>
  <si>
    <t>Çalhanoğlu rest station</t>
  </si>
  <si>
    <t>Çalhanoğlu Dinlenme Tesisi</t>
  </si>
  <si>
    <t>OQ1</t>
  </si>
  <si>
    <t>Osmancık roadside station</t>
  </si>
  <si>
    <t>Osmancık Sapak</t>
  </si>
  <si>
    <t>DE3</t>
  </si>
  <si>
    <t>Degirmendere rest station</t>
  </si>
  <si>
    <t>Degirmendere Dinlenme Tesisi</t>
  </si>
  <si>
    <t>CZ1</t>
  </si>
  <si>
    <t>Cacabey</t>
  </si>
  <si>
    <t>LK1</t>
  </si>
  <si>
    <t>Bursa Kestel</t>
  </si>
  <si>
    <t>ZM1</t>
  </si>
  <si>
    <t>Mecitözü</t>
  </si>
  <si>
    <t>KJ1</t>
  </si>
  <si>
    <t>Kumla Merkez</t>
  </si>
  <si>
    <t>RI1</t>
  </si>
  <si>
    <t>Derepazarı</t>
  </si>
  <si>
    <t>FU1</t>
  </si>
  <si>
    <t>Fındıklı</t>
  </si>
  <si>
    <t>YD1</t>
  </si>
  <si>
    <t>Aydıncık bus station</t>
  </si>
  <si>
    <t>YF1</t>
  </si>
  <si>
    <t>Ziyaret Merkez</t>
  </si>
  <si>
    <t>IO1</t>
  </si>
  <si>
    <t>Çerkezköy Kumlugeçit</t>
  </si>
  <si>
    <t>IT1</t>
  </si>
  <si>
    <t>Kapaklı bus station</t>
  </si>
  <si>
    <t>II1</t>
  </si>
  <si>
    <t>Silivri</t>
  </si>
  <si>
    <t>PM3</t>
  </si>
  <si>
    <t>Pamukova Metin rest station</t>
  </si>
  <si>
    <t>Pamukova Metin Dinlenme Tesisi</t>
  </si>
  <si>
    <t>CV3</t>
  </si>
  <si>
    <t>Çavuşlu rest station</t>
  </si>
  <si>
    <t>Çavuşlu Dinlenme Tesisi</t>
  </si>
  <si>
    <t>OP3</t>
  </si>
  <si>
    <t>Onur Park rest statıon</t>
  </si>
  <si>
    <t>KK3</t>
  </si>
  <si>
    <t>Akkuşlar rest station</t>
  </si>
  <si>
    <t>Akkuşlar Dinlenme Tesisi</t>
  </si>
  <si>
    <t>ZJ1</t>
  </si>
  <si>
    <t>Akyazı bus station</t>
  </si>
  <si>
    <t>ZF1</t>
  </si>
  <si>
    <t>Kuzuluk bus station</t>
  </si>
  <si>
    <t>YM1</t>
  </si>
  <si>
    <t>Sapanca bus station</t>
  </si>
  <si>
    <t>OI1</t>
  </si>
  <si>
    <t>Ödemiş bus station</t>
  </si>
  <si>
    <t>TO1</t>
  </si>
  <si>
    <t>Torbalı bus station</t>
  </si>
  <si>
    <t>TR1</t>
  </si>
  <si>
    <t>Tire bus station</t>
  </si>
  <si>
    <t>TC1</t>
  </si>
  <si>
    <t>Ayrancılar Merkez</t>
  </si>
  <si>
    <t>UJ1</t>
  </si>
  <si>
    <t>Kızılcahamam bus station</t>
  </si>
  <si>
    <t>UD1</t>
  </si>
  <si>
    <t>Nallıhan bus station</t>
  </si>
  <si>
    <t>UE1</t>
  </si>
  <si>
    <t>Beypazarı bus station</t>
  </si>
  <si>
    <t>PS1</t>
  </si>
  <si>
    <t>Abdipaşa bus station</t>
  </si>
  <si>
    <t>UH1</t>
  </si>
  <si>
    <t>Ulus bus station</t>
  </si>
  <si>
    <t>KO3</t>
  </si>
  <si>
    <t>Konakoğlu rest station</t>
  </si>
  <si>
    <t>Konakoğlu Dinlenme Tesisi</t>
  </si>
  <si>
    <t>OH1</t>
  </si>
  <si>
    <t>Boyalıca bus station</t>
  </si>
  <si>
    <t>OJ1</t>
  </si>
  <si>
    <t>Oğulpaşa bus station</t>
  </si>
  <si>
    <t>OW1</t>
  </si>
  <si>
    <t>Kaynarca (Bursa) bus station</t>
  </si>
  <si>
    <t>OV1</t>
  </si>
  <si>
    <t>Beşevler bus station</t>
  </si>
  <si>
    <t>WA1</t>
  </si>
  <si>
    <t>Çerkeşli bus station</t>
  </si>
  <si>
    <t>WB1</t>
  </si>
  <si>
    <t>Mekece bus station</t>
  </si>
  <si>
    <t>WC1</t>
  </si>
  <si>
    <t>Hayrettin bus station</t>
  </si>
  <si>
    <t>WD1</t>
  </si>
  <si>
    <t>Pamukova bus station</t>
  </si>
  <si>
    <t>WE1</t>
  </si>
  <si>
    <t>Alifuatpaşa bus station</t>
  </si>
  <si>
    <t>WF1</t>
  </si>
  <si>
    <t>Çiftlikköy (Yalova) bus station</t>
  </si>
  <si>
    <t>WG1</t>
  </si>
  <si>
    <t>Topçular (Yalova) bus station</t>
  </si>
  <si>
    <t>WH1</t>
  </si>
  <si>
    <t>Altınova (Yalova) bus station</t>
  </si>
  <si>
    <t>WI1</t>
  </si>
  <si>
    <t>Değirmendere (Kocaeli) bus station</t>
  </si>
  <si>
    <t>IH1</t>
  </si>
  <si>
    <t>İstanbul Harem bus station</t>
  </si>
  <si>
    <t>YX1</t>
  </si>
  <si>
    <t>Yamuçlar bus station</t>
  </si>
  <si>
    <t>BY3</t>
  </si>
  <si>
    <t>Bolu Terminal Yemekçilik rest station</t>
  </si>
  <si>
    <t>Bolu Terminal Yemekçilik Dinlenme Tesisi</t>
  </si>
  <si>
    <t>RY1</t>
  </si>
  <si>
    <t>Sulusaray bus station</t>
  </si>
  <si>
    <t>YI1</t>
  </si>
  <si>
    <t>Yeşilyurt bus station</t>
  </si>
  <si>
    <t>VZ1</t>
  </si>
  <si>
    <t>Artova bus station</t>
  </si>
  <si>
    <t>NK1</t>
  </si>
  <si>
    <t>İznik (Sakarya Kalkış)</t>
  </si>
  <si>
    <t>AN!</t>
  </si>
  <si>
    <t>Ans Camii</t>
  </si>
  <si>
    <t>KY!</t>
  </si>
  <si>
    <t>Kyk Üst Geçit</t>
  </si>
  <si>
    <t>MK!</t>
  </si>
  <si>
    <t>Makas</t>
  </si>
  <si>
    <t>VE!</t>
  </si>
  <si>
    <t xml:space="preserve">Veterinerlik Fakülte </t>
  </si>
  <si>
    <t>SY!</t>
  </si>
  <si>
    <t>Sanayii</t>
  </si>
  <si>
    <t>SH!</t>
  </si>
  <si>
    <t>Sultanhanı</t>
  </si>
  <si>
    <t>EK!</t>
  </si>
  <si>
    <t>Eşmekaya</t>
  </si>
  <si>
    <t>GG!</t>
  </si>
  <si>
    <t>Gazlıgöl</t>
  </si>
  <si>
    <t>AG!</t>
  </si>
  <si>
    <t>Ağaçlı</t>
  </si>
  <si>
    <t>CA!</t>
  </si>
  <si>
    <t>Çalkaya</t>
  </si>
  <si>
    <t>YP!</t>
  </si>
  <si>
    <t>Yaşar Petrol</t>
  </si>
  <si>
    <t>TX!</t>
  </si>
  <si>
    <t>Keptur</t>
  </si>
  <si>
    <t>KB!</t>
  </si>
  <si>
    <t>Kirazlıbahçe</t>
  </si>
  <si>
    <t>ME!</t>
  </si>
  <si>
    <t xml:space="preserve">Istanbul Yolu Metro Istasyonu </t>
  </si>
  <si>
    <t>DK!</t>
  </si>
  <si>
    <t>Değirmen Köy</t>
  </si>
  <si>
    <t>KO!</t>
  </si>
  <si>
    <t>Konaklı</t>
  </si>
  <si>
    <t>PT!</t>
  </si>
  <si>
    <t>Gölbaşı Ptt</t>
  </si>
  <si>
    <t>GT!</t>
  </si>
  <si>
    <t>Gimat</t>
  </si>
  <si>
    <t>TT!</t>
  </si>
  <si>
    <t>Total (Yayla Üzeri)</t>
  </si>
  <si>
    <t>CT!</t>
  </si>
  <si>
    <t>Çimtur</t>
  </si>
  <si>
    <t>GC!</t>
  </si>
  <si>
    <t>Gölçayır</t>
  </si>
  <si>
    <t>AV!</t>
  </si>
  <si>
    <t>Avsallar</t>
  </si>
  <si>
    <t>SX!</t>
  </si>
  <si>
    <t>Sultadağı Dörtyol</t>
  </si>
  <si>
    <t>TQ!</t>
  </si>
  <si>
    <t>Toki Karşısı Üniversite Önü</t>
  </si>
  <si>
    <t>GO!</t>
  </si>
  <si>
    <t>Gordion Avm Karşısı Total /Biniş</t>
  </si>
  <si>
    <t>YQ!</t>
  </si>
  <si>
    <t>Yeni Köy Cami</t>
  </si>
  <si>
    <t>HN!</t>
  </si>
  <si>
    <t>Honaz</t>
  </si>
  <si>
    <t>CQ!</t>
  </si>
  <si>
    <t>Çardak</t>
  </si>
  <si>
    <t>GK!</t>
  </si>
  <si>
    <t>Göçü Köy</t>
  </si>
  <si>
    <t>KA!</t>
  </si>
  <si>
    <t>Karaağaç</t>
  </si>
  <si>
    <t>KR!</t>
  </si>
  <si>
    <t>Kıreli</t>
  </si>
  <si>
    <t>DI!</t>
  </si>
  <si>
    <t>Dişli</t>
  </si>
  <si>
    <t>KM!</t>
  </si>
  <si>
    <t>Kampüs - Bolvadin</t>
  </si>
  <si>
    <t>BX!</t>
  </si>
  <si>
    <t>Beynur Petrol</t>
  </si>
  <si>
    <t>BO!</t>
  </si>
  <si>
    <t>Bozkurt</t>
  </si>
  <si>
    <t>AP!</t>
  </si>
  <si>
    <t>Acipayam</t>
  </si>
  <si>
    <t>AB!</t>
  </si>
  <si>
    <t>Ali Bilir Tesisleri</t>
  </si>
  <si>
    <t>KF!</t>
  </si>
  <si>
    <t>Kaleflex</t>
  </si>
  <si>
    <t>BV!</t>
  </si>
  <si>
    <t>Banvit/Shell gas station</t>
  </si>
  <si>
    <t>KK!</t>
  </si>
  <si>
    <t>Kemerkaya</t>
  </si>
  <si>
    <t>AK!</t>
  </si>
  <si>
    <t>Aldirmaz Kamping</t>
  </si>
  <si>
    <t>PK!</t>
  </si>
  <si>
    <t>Pinarkent</t>
  </si>
  <si>
    <t>KE!</t>
  </si>
  <si>
    <t>Köken Villaları</t>
  </si>
  <si>
    <t>KU!</t>
  </si>
  <si>
    <t>Küçüker Tekstil</t>
  </si>
  <si>
    <t>DU!</t>
  </si>
  <si>
    <t>Düzler</t>
  </si>
  <si>
    <t>OZ!</t>
  </si>
  <si>
    <t>Özel Idare</t>
  </si>
  <si>
    <t>IK!</t>
  </si>
  <si>
    <t>Ipek Kamping</t>
  </si>
  <si>
    <t>KV!</t>
  </si>
  <si>
    <t>Kara Kuvvetleri Kampi</t>
  </si>
  <si>
    <t>BN!</t>
  </si>
  <si>
    <t>Banvit Kampi</t>
  </si>
  <si>
    <t>BQ!</t>
  </si>
  <si>
    <t>Kocabaş</t>
  </si>
  <si>
    <t>EG!</t>
  </si>
  <si>
    <t>Egeli Büfe</t>
  </si>
  <si>
    <t>HA!</t>
  </si>
  <si>
    <t>Hava Kuvvetleri Kampi Nizamiye</t>
  </si>
  <si>
    <t>HK!</t>
  </si>
  <si>
    <t>Harita Kampi</t>
  </si>
  <si>
    <t>AO!</t>
  </si>
  <si>
    <t>Ali Öztoprak Kamping</t>
  </si>
  <si>
    <t>OI!</t>
  </si>
  <si>
    <t>Organize Işiklar</t>
  </si>
  <si>
    <t>OP!</t>
  </si>
  <si>
    <t>Opet (Günbatimi Motel)</t>
  </si>
  <si>
    <t>KL!</t>
  </si>
  <si>
    <t>Kalp Merkezi</t>
  </si>
  <si>
    <t>DO!</t>
  </si>
  <si>
    <t>Doğa Koleji Önü</t>
  </si>
  <si>
    <t>BF!</t>
  </si>
  <si>
    <t>Basma Fabrikası Işıklar</t>
  </si>
  <si>
    <t>CF!</t>
  </si>
  <si>
    <t>Çiftlikköy Kavşak</t>
  </si>
  <si>
    <t>RK!</t>
  </si>
  <si>
    <t>Kırka</t>
  </si>
  <si>
    <t>TS!</t>
  </si>
  <si>
    <t>Tatlisu Kavşaği</t>
  </si>
  <si>
    <t>SG!</t>
  </si>
  <si>
    <t>Seyitgazi</t>
  </si>
  <si>
    <t>CK!</t>
  </si>
  <si>
    <t>Kalabak Camii Karşısı</t>
  </si>
  <si>
    <t>TF!</t>
  </si>
  <si>
    <t>Tıp Fakültesi Işıklar</t>
  </si>
  <si>
    <t>GU!</t>
  </si>
  <si>
    <t xml:space="preserve">Gülüç Işıklar </t>
  </si>
  <si>
    <t>YH!</t>
  </si>
  <si>
    <t>Yaman Otel</t>
  </si>
  <si>
    <t>BL!</t>
  </si>
  <si>
    <t xml:space="preserve">Belediye Plajı </t>
  </si>
  <si>
    <t>PO!</t>
  </si>
  <si>
    <t>Pinar Otel</t>
  </si>
  <si>
    <t>CP!</t>
  </si>
  <si>
    <t>Göcek Petrol</t>
  </si>
  <si>
    <t>GP!</t>
  </si>
  <si>
    <t xml:space="preserve">Göktepe Bp Petrol </t>
  </si>
  <si>
    <t>CE!</t>
  </si>
  <si>
    <t>Göcek Bp</t>
  </si>
  <si>
    <t>CL!</t>
  </si>
  <si>
    <t xml:space="preserve">Cumhuriyet Lisesi </t>
  </si>
  <si>
    <t>AH!</t>
  </si>
  <si>
    <t>Argıthanı</t>
  </si>
  <si>
    <t>AY!</t>
  </si>
  <si>
    <t>Aytemiz Petrol</t>
  </si>
  <si>
    <t>KG!</t>
  </si>
  <si>
    <t>Karagedik Shell</t>
  </si>
  <si>
    <t>ET!</t>
  </si>
  <si>
    <t>Esentepe</t>
  </si>
  <si>
    <t>LI!</t>
  </si>
  <si>
    <t>Kapaklı</t>
  </si>
  <si>
    <t>LC!</t>
  </si>
  <si>
    <t>Inlice</t>
  </si>
  <si>
    <t>VW!</t>
  </si>
  <si>
    <t>Wolkswagen Bayii</t>
  </si>
  <si>
    <t>BR!</t>
  </si>
  <si>
    <t>Keçiborlu Dörtyol B Pet</t>
  </si>
  <si>
    <t>YX!</t>
  </si>
  <si>
    <t>Yaniklar Köprü</t>
  </si>
  <si>
    <t>CO!</t>
  </si>
  <si>
    <t>Corendon Otel</t>
  </si>
  <si>
    <t>CY!</t>
  </si>
  <si>
    <t>Gönen Kirikçayir</t>
  </si>
  <si>
    <t>AC!</t>
  </si>
  <si>
    <t>Öğretmen Ali Çetin Üst Geçidi</t>
  </si>
  <si>
    <t>EL!</t>
  </si>
  <si>
    <t>Elmalı Kavşak</t>
  </si>
  <si>
    <t>YO!</t>
  </si>
  <si>
    <t>Yaniklar Opet</t>
  </si>
  <si>
    <t>GB!</t>
  </si>
  <si>
    <t>Günlükbaşi Shell</t>
  </si>
  <si>
    <t>KI!</t>
  </si>
  <si>
    <t>Kampüs - Isparta</t>
  </si>
  <si>
    <t>OT!</t>
  </si>
  <si>
    <t>Oktay Petrol Kavşaği</t>
  </si>
  <si>
    <t>UN!</t>
  </si>
  <si>
    <t>Çünür Kavşaği</t>
  </si>
  <si>
    <t>OS!</t>
  </si>
  <si>
    <t>Organize Sanayi Kavşaği</t>
  </si>
  <si>
    <t>HV!</t>
  </si>
  <si>
    <t>S. Demirel Havalimani Kavşaği</t>
  </si>
  <si>
    <t>EM!</t>
  </si>
  <si>
    <t>Eğitim Kompleksi</t>
  </si>
  <si>
    <t>SK!</t>
  </si>
  <si>
    <t>Sav Kavşaği</t>
  </si>
  <si>
    <t>MD!</t>
  </si>
  <si>
    <t>Madenli Kavşaği</t>
  </si>
  <si>
    <t>CZ!</t>
  </si>
  <si>
    <t>Cezaevi Karşisi</t>
  </si>
  <si>
    <t>LU!</t>
  </si>
  <si>
    <t>Eğirdir Lukoil Petrol</t>
  </si>
  <si>
    <t>YZ!</t>
  </si>
  <si>
    <t>Yeni Kyk</t>
  </si>
  <si>
    <t>AS!</t>
  </si>
  <si>
    <t>Aslanlar</t>
  </si>
  <si>
    <t>GD!</t>
  </si>
  <si>
    <t>Gelendost Dörtyol Kavşaği</t>
  </si>
  <si>
    <t>SO!</t>
  </si>
  <si>
    <t>Eğirdir Şok Market</t>
  </si>
  <si>
    <t>JA!</t>
  </si>
  <si>
    <t>Himmetdede-Jandarma</t>
  </si>
  <si>
    <t>KD!</t>
  </si>
  <si>
    <t>Kayı Durağı</t>
  </si>
  <si>
    <t>OV!</t>
  </si>
  <si>
    <t>Ovacık Yol Ayrımı</t>
  </si>
  <si>
    <t>ER!</t>
  </si>
  <si>
    <t>Erkilet Köprü</t>
  </si>
  <si>
    <t>EP!</t>
  </si>
  <si>
    <t>Eski Pazar</t>
  </si>
  <si>
    <t>SC!</t>
  </si>
  <si>
    <t>Söğütlüçeşme</t>
  </si>
  <si>
    <t>AU!</t>
  </si>
  <si>
    <t>Akgün Petrol</t>
  </si>
  <si>
    <t>RG!</t>
  </si>
  <si>
    <t>Organize Sanayi</t>
  </si>
  <si>
    <t>TU!</t>
  </si>
  <si>
    <t>Cildi Kısık Tüneli</t>
  </si>
  <si>
    <t>TE!</t>
  </si>
  <si>
    <t>Çay Köy</t>
  </si>
  <si>
    <t>BS!</t>
  </si>
  <si>
    <t>Burunsuz</t>
  </si>
  <si>
    <t>KQ!</t>
  </si>
  <si>
    <t>Kaykop Köprü</t>
  </si>
  <si>
    <t>UE!</t>
  </si>
  <si>
    <t>Üç Evler</t>
  </si>
  <si>
    <t>HZ!</t>
  </si>
  <si>
    <t>Hamzalar Emas Sanayi</t>
  </si>
  <si>
    <t>HY!</t>
  </si>
  <si>
    <t>Hanköy</t>
  </si>
  <si>
    <t>TK!</t>
  </si>
  <si>
    <t>Topaklı-Kozaklı Yol Ayırımı</t>
  </si>
  <si>
    <t>PH!</t>
  </si>
  <si>
    <t>Göynük-3 Phaselis Kavşağı</t>
  </si>
  <si>
    <t>CS!</t>
  </si>
  <si>
    <t>Beldibi-3 Çifte Çeşmeler</t>
  </si>
  <si>
    <t>JD!</t>
  </si>
  <si>
    <t>Göynük-2 Jandarma Kavşağı</t>
  </si>
  <si>
    <t>MR!</t>
  </si>
  <si>
    <t>Göynük-1 Mirada Kavşağı</t>
  </si>
  <si>
    <t>BE!</t>
  </si>
  <si>
    <t>Beldibi-2 Total Petrol</t>
  </si>
  <si>
    <t>MI!</t>
  </si>
  <si>
    <t>Mimsin-Ikizkule</t>
  </si>
  <si>
    <t>KX!</t>
  </si>
  <si>
    <t>Kalaba-Ptt</t>
  </si>
  <si>
    <t>OB!</t>
  </si>
  <si>
    <t>Özbağ Belediye</t>
  </si>
  <si>
    <t>AI!</t>
  </si>
  <si>
    <t>Akpınar Işıklar</t>
  </si>
  <si>
    <t>HT!</t>
  </si>
  <si>
    <t>Hamit</t>
  </si>
  <si>
    <t>MA!</t>
  </si>
  <si>
    <t>Mimsin-Akpet</t>
  </si>
  <si>
    <t>JM!</t>
  </si>
  <si>
    <t>Beldibi-1 Jandarma Kavşağı</t>
  </si>
  <si>
    <t>KN!</t>
  </si>
  <si>
    <t>Keskin</t>
  </si>
  <si>
    <t>PL!</t>
  </si>
  <si>
    <t>Petlas</t>
  </si>
  <si>
    <t>BU!</t>
  </si>
  <si>
    <t>Başkent Üniversitesi Has.Yaya Üst Geçidi</t>
  </si>
  <si>
    <t>YY!</t>
  </si>
  <si>
    <t>Yozgat Yol Ayırımı</t>
  </si>
  <si>
    <t>TR!</t>
  </si>
  <si>
    <t>Kadınhanı Bölge Trafik</t>
  </si>
  <si>
    <t>KW!</t>
  </si>
  <si>
    <t>Karaman Göbeği</t>
  </si>
  <si>
    <t>KZ!</t>
  </si>
  <si>
    <t>Kampüs Damla Kız Yurdu Önü</t>
  </si>
  <si>
    <t>JO!</t>
  </si>
  <si>
    <t>Olympos Kavşağı</t>
  </si>
  <si>
    <t>AR!</t>
  </si>
  <si>
    <t>Adrasan Bölge Trafik</t>
  </si>
  <si>
    <t>DD!</t>
  </si>
  <si>
    <t>Dedeman Köprü Çıkışı</t>
  </si>
  <si>
    <t>DG!</t>
  </si>
  <si>
    <t>Dünya Göz Has. Önü</t>
  </si>
  <si>
    <t>LK!</t>
  </si>
  <si>
    <t>Ladik Lambalar</t>
  </si>
  <si>
    <t>GM!</t>
  </si>
  <si>
    <t>Gençlik Merkezi</t>
  </si>
  <si>
    <t>CR!</t>
  </si>
  <si>
    <t>Çıralı Kavşağı</t>
  </si>
  <si>
    <t>TB!</t>
  </si>
  <si>
    <t>Ticaret Borsası Karşısı</t>
  </si>
  <si>
    <t>AD!</t>
  </si>
  <si>
    <t>Adliye Kavşağı</t>
  </si>
  <si>
    <t>MT!</t>
  </si>
  <si>
    <t>Meram Tıp Fakültesi</t>
  </si>
  <si>
    <t>TO!</t>
  </si>
  <si>
    <t>Tekirova Kavşağı</t>
  </si>
  <si>
    <t>GR!</t>
  </si>
  <si>
    <t>Gülşehir Üniversite</t>
  </si>
  <si>
    <t>KT!</t>
  </si>
  <si>
    <t>Kuştur</t>
  </si>
  <si>
    <t>KC!</t>
  </si>
  <si>
    <t>Karacaören/Biniş</t>
  </si>
  <si>
    <t>DH!</t>
  </si>
  <si>
    <t>Devlet Hastanesi</t>
  </si>
  <si>
    <t>RQ!</t>
  </si>
  <si>
    <t>Kurugöl/Biniş</t>
  </si>
  <si>
    <t>KS!</t>
  </si>
  <si>
    <t>Kızılağaç Shell Petrol</t>
  </si>
  <si>
    <t>IL!</t>
  </si>
  <si>
    <t>Ilıca Kumköy Kavşağı</t>
  </si>
  <si>
    <t>MG!</t>
  </si>
  <si>
    <t>Migros</t>
  </si>
  <si>
    <t>BA!</t>
  </si>
  <si>
    <t>Babapınar Köyü</t>
  </si>
  <si>
    <t>CI!</t>
  </si>
  <si>
    <t>Çiğdem /Biniş</t>
  </si>
  <si>
    <t>RX!</t>
  </si>
  <si>
    <t>Kargın /Biniş</t>
  </si>
  <si>
    <t>EO!</t>
  </si>
  <si>
    <t xml:space="preserve">Evrim Otel Biniş </t>
  </si>
  <si>
    <t>GS!</t>
  </si>
  <si>
    <t>Gümüşkent/Biniş</t>
  </si>
  <si>
    <t>CJ!</t>
  </si>
  <si>
    <t>Çolaklı Jandarma Kavşağı</t>
  </si>
  <si>
    <t>RY!</t>
  </si>
  <si>
    <t>Karayollari Kavşaği</t>
  </si>
  <si>
    <t>KP!</t>
  </si>
  <si>
    <t>Kocaeli Parki</t>
  </si>
  <si>
    <t>TM!</t>
  </si>
  <si>
    <t>Tekiş Mobilya</t>
  </si>
  <si>
    <t>MY!</t>
  </si>
  <si>
    <t>Eski Meydan</t>
  </si>
  <si>
    <t>VK!</t>
  </si>
  <si>
    <t>Kampüs - Van</t>
  </si>
  <si>
    <t>EY!</t>
  </si>
  <si>
    <t>Eski Emniyet</t>
  </si>
  <si>
    <t>FK!</t>
  </si>
  <si>
    <t>Bölge Trafik</t>
  </si>
  <si>
    <t>TP!</t>
  </si>
  <si>
    <t>Tepeköy/Biniş</t>
  </si>
  <si>
    <t>SA!</t>
  </si>
  <si>
    <t>Sanayi Kavşaği</t>
  </si>
  <si>
    <t>TA!</t>
  </si>
  <si>
    <t>Bölge Hastanesi</t>
  </si>
  <si>
    <t>YL!</t>
  </si>
  <si>
    <t>Yalman-Çamlık/Biniş</t>
  </si>
  <si>
    <t>HS!</t>
  </si>
  <si>
    <t>Havaalani Kavşaği</t>
  </si>
  <si>
    <t>SU!</t>
  </si>
  <si>
    <t>Edremit Su Sporlari</t>
  </si>
  <si>
    <t>OG!</t>
  </si>
  <si>
    <t>Kurtoğlu Petrol</t>
  </si>
  <si>
    <t>TI!</t>
  </si>
  <si>
    <t>Tirtar</t>
  </si>
  <si>
    <t>AA!</t>
  </si>
  <si>
    <t>Aşaği Kaşikara</t>
  </si>
  <si>
    <t>GA!</t>
  </si>
  <si>
    <t>Gençali</t>
  </si>
  <si>
    <t>SV!</t>
  </si>
  <si>
    <t>Taşevi</t>
  </si>
  <si>
    <t>BY!</t>
  </si>
  <si>
    <t xml:space="preserve">Bayat Sapak </t>
  </si>
  <si>
    <t>CD!</t>
  </si>
  <si>
    <t xml:space="preserve">Çaydeğirmeni </t>
  </si>
  <si>
    <t>YK!</t>
  </si>
  <si>
    <t>Yukari Kaşikara</t>
  </si>
  <si>
    <t>BK!</t>
  </si>
  <si>
    <t xml:space="preserve">Bakacakkadı Damak Tadı </t>
  </si>
  <si>
    <t>CX!</t>
  </si>
  <si>
    <t xml:space="preserve">Çatak </t>
  </si>
  <si>
    <t>CB!</t>
  </si>
  <si>
    <t>Gökçebey Sapak</t>
  </si>
  <si>
    <t>BZ!</t>
  </si>
  <si>
    <t xml:space="preserve">Bizim Market </t>
  </si>
  <si>
    <t>AL!</t>
  </si>
  <si>
    <t>Alime Çeşmesi</t>
  </si>
  <si>
    <t>YU!</t>
  </si>
  <si>
    <t>Çiftlik Köyü</t>
  </si>
  <si>
    <t>BC!</t>
  </si>
  <si>
    <t xml:space="preserve">Beycuma Yol Ayrımı </t>
  </si>
  <si>
    <t>DL!</t>
  </si>
  <si>
    <t>Kumdanli</t>
  </si>
  <si>
    <t>RM!</t>
  </si>
  <si>
    <t xml:space="preserve">Karaman Merkez </t>
  </si>
  <si>
    <t>SL!</t>
  </si>
  <si>
    <t xml:space="preserve">Sücüllü </t>
  </si>
  <si>
    <t>IS!</t>
  </si>
  <si>
    <t xml:space="preserve">Ilık Su </t>
  </si>
  <si>
    <t>FS!</t>
  </si>
  <si>
    <t xml:space="preserve">Fatih Sitesi </t>
  </si>
  <si>
    <t>FA!</t>
  </si>
  <si>
    <t xml:space="preserve">Tıp Fakültesi </t>
  </si>
  <si>
    <t>ZL!</t>
  </si>
  <si>
    <t>Kızılay Kan Merkezi</t>
  </si>
  <si>
    <t>EC!</t>
  </si>
  <si>
    <t xml:space="preserve">Elmacı </t>
  </si>
  <si>
    <t>OY!</t>
  </si>
  <si>
    <t xml:space="preserve">Öğrenci Yurt </t>
  </si>
  <si>
    <t>TZ!</t>
  </si>
  <si>
    <t xml:space="preserve">Terziköy </t>
  </si>
  <si>
    <t>GI!</t>
  </si>
  <si>
    <t>Gimat Biniş</t>
  </si>
  <si>
    <t>PZ!</t>
  </si>
  <si>
    <t>Elvan Pazarcık Yol Ayrımı</t>
  </si>
  <si>
    <t>ST3</t>
  </si>
  <si>
    <t>Şahintepesi rest station</t>
  </si>
  <si>
    <t>Şahintepesi Dinlenme Tesisi</t>
  </si>
  <si>
    <t>BM!</t>
  </si>
  <si>
    <t>Kızılağaç kavşağı Bim önü</t>
  </si>
  <si>
    <t>PR!</t>
  </si>
  <si>
    <t>Pursaklar</t>
  </si>
  <si>
    <t>UK!</t>
  </si>
  <si>
    <t>Ülker kavşağı</t>
  </si>
  <si>
    <t>OX!</t>
  </si>
  <si>
    <t>Opet Doğa Petrol</t>
  </si>
  <si>
    <t>BG!</t>
  </si>
  <si>
    <t>Bahçeli Sapak</t>
  </si>
  <si>
    <t>SB!</t>
  </si>
  <si>
    <t>Şirinköy Benzinlik</t>
  </si>
  <si>
    <t>SM!</t>
  </si>
  <si>
    <t>Osmaniye (biga)</t>
  </si>
  <si>
    <t>ZR!</t>
  </si>
  <si>
    <t>Bozlar Sapak</t>
  </si>
  <si>
    <t>SQ!</t>
  </si>
  <si>
    <t>Sinekçi</t>
  </si>
  <si>
    <t>GE!</t>
  </si>
  <si>
    <t>Gerlengeç</t>
  </si>
  <si>
    <t>UO!</t>
  </si>
  <si>
    <t>Koruoba Sapağı</t>
  </si>
  <si>
    <t>LN!</t>
  </si>
  <si>
    <t>Güvemalan</t>
  </si>
  <si>
    <t>QL!</t>
  </si>
  <si>
    <t>Kepekli Sapak</t>
  </si>
  <si>
    <t>QN!</t>
  </si>
  <si>
    <t>Denizkent shell</t>
  </si>
  <si>
    <t>CS3</t>
  </si>
  <si>
    <t>Canosman rest station</t>
  </si>
  <si>
    <t>Canosman Dinlenme Tesisi</t>
  </si>
  <si>
    <t>BB!</t>
  </si>
  <si>
    <t>Yeni KYK (Mensucat)</t>
  </si>
  <si>
    <t>VT1</t>
  </si>
  <si>
    <t>Kelkit bus station</t>
  </si>
  <si>
    <t>AG3</t>
  </si>
  <si>
    <t>Ağaçlı rest station</t>
  </si>
  <si>
    <t>Ağaçlı Dinlenme Tesisi</t>
  </si>
  <si>
    <t>ZA!</t>
  </si>
  <si>
    <t>Evrim Otel pickup point</t>
  </si>
  <si>
    <t>ZB!</t>
  </si>
  <si>
    <t>Çiğdem pickup point</t>
  </si>
  <si>
    <t>ZC!</t>
  </si>
  <si>
    <t>Kargın Pickup point</t>
  </si>
  <si>
    <t>ZD!</t>
  </si>
  <si>
    <t>Kurugöl Pickup point</t>
  </si>
  <si>
    <t>ZE!</t>
  </si>
  <si>
    <t>Gümüşkent Pickup point</t>
  </si>
  <si>
    <t>ZG!</t>
  </si>
  <si>
    <t>Gülşehir Pickup point</t>
  </si>
  <si>
    <t>HB!</t>
  </si>
  <si>
    <t>Pick-up point test</t>
  </si>
  <si>
    <t>FE1</t>
  </si>
  <si>
    <t>Silifke bus station</t>
  </si>
  <si>
    <t>AC3</t>
  </si>
  <si>
    <t>Ağaçlı rest station (Antalya Yolu)</t>
  </si>
  <si>
    <t>Ağaçlı Dinlenme Tesisi (Antalya Yolu)</t>
  </si>
  <si>
    <t>VT3</t>
  </si>
  <si>
    <t>Vatan rest station</t>
  </si>
  <si>
    <t>Vatan Dinlenme Tesisi</t>
  </si>
  <si>
    <t>AZ1</t>
  </si>
  <si>
    <t>Altunhisar bus station</t>
  </si>
  <si>
    <t>GZ3</t>
  </si>
  <si>
    <t>Gazipaşa Çelikler rest station</t>
  </si>
  <si>
    <t>Gazipaşa Çelikler Dinlenme Tesisi</t>
  </si>
  <si>
    <t>BM3</t>
  </si>
  <si>
    <t>Bumer rest station</t>
  </si>
  <si>
    <t>Bumer Dinlenme Tesisi</t>
  </si>
  <si>
    <t>RS1</t>
  </si>
  <si>
    <t>Siirt bus station</t>
  </si>
  <si>
    <t>LN1</t>
  </si>
  <si>
    <t>Kurtalan bus station</t>
  </si>
  <si>
    <t>NM1</t>
  </si>
  <si>
    <t>Batman bus station</t>
  </si>
  <si>
    <t>LM1</t>
  </si>
  <si>
    <t>Bismil bus station</t>
  </si>
  <si>
    <t>DY1</t>
  </si>
  <si>
    <t>Diyarbakır bus station</t>
  </si>
  <si>
    <t>VS1</t>
  </si>
  <si>
    <t>Siverek bus station</t>
  </si>
  <si>
    <t>NH1</t>
  </si>
  <si>
    <t>Hilvan bus station</t>
  </si>
  <si>
    <t>RF1</t>
  </si>
  <si>
    <t>Şanlıurfa bus station</t>
  </si>
  <si>
    <t>NV1</t>
  </si>
  <si>
    <t>Silvan bus station</t>
  </si>
  <si>
    <t>AX1</t>
  </si>
  <si>
    <t>Ergani bus station</t>
  </si>
  <si>
    <t>PR3</t>
  </si>
  <si>
    <t>Park Mirkelam rest station</t>
  </si>
  <si>
    <t>Park Mirkelam Dinlenme Tesisi</t>
  </si>
  <si>
    <t>TS3</t>
  </si>
  <si>
    <t>Taşpınar rest station</t>
  </si>
  <si>
    <t>Taşpınar Dinlenme Tesisi</t>
  </si>
  <si>
    <t>CF3</t>
  </si>
  <si>
    <t>Çiftlik rest station</t>
  </si>
  <si>
    <t>Çiftlik Dinlenme Tesisi</t>
  </si>
  <si>
    <t>EV!</t>
  </si>
  <si>
    <t>14 Evler Camii</t>
  </si>
  <si>
    <t>MB!</t>
  </si>
  <si>
    <t>Merkez Bankası Kampı</t>
  </si>
  <si>
    <t>HE!</t>
  </si>
  <si>
    <t>Havacılar Kampı</t>
  </si>
  <si>
    <t>MP!</t>
  </si>
  <si>
    <t>Migros Petrol Ofisi</t>
  </si>
  <si>
    <t>BP!</t>
  </si>
  <si>
    <t>Bim Ortaköy</t>
  </si>
  <si>
    <t>DE!</t>
  </si>
  <si>
    <t>Denizatı</t>
  </si>
  <si>
    <t>DS!</t>
  </si>
  <si>
    <t>DSİ-TMO Kampı</t>
  </si>
  <si>
    <t>DZ!</t>
  </si>
  <si>
    <t>Karayolları Kampı Camii</t>
  </si>
  <si>
    <t>PM!</t>
  </si>
  <si>
    <t>Polis Moral Merkezi</t>
  </si>
  <si>
    <t>SE!</t>
  </si>
  <si>
    <t>Shell Doğanbey</t>
  </si>
  <si>
    <t>AZ!</t>
  </si>
  <si>
    <t>Arkonut Otobüs Durağı</t>
  </si>
  <si>
    <t>BT!</t>
  </si>
  <si>
    <t>Banksis Sitesi</t>
  </si>
  <si>
    <t>DT!</t>
  </si>
  <si>
    <t>Doğankent Sitesi</t>
  </si>
  <si>
    <t>LT!</t>
  </si>
  <si>
    <t>Sultanbeyli Biniş Durağı</t>
  </si>
  <si>
    <t>Yeni Tempo rest station</t>
  </si>
  <si>
    <t>Yeni Tempo Dinlenme Tesisi</t>
  </si>
  <si>
    <t>ZT3</t>
  </si>
  <si>
    <t>Zirve Turistik rest station</t>
  </si>
  <si>
    <t>Zirve Turistik Dinlenme Tesisi</t>
  </si>
  <si>
    <t>KT3</t>
  </si>
  <si>
    <t>Konak Park rest station</t>
  </si>
  <si>
    <t>Konak Park Dinlenme Tesisi</t>
  </si>
  <si>
    <t>ES!</t>
  </si>
  <si>
    <t>Eskipazar(Mermer)</t>
  </si>
  <si>
    <t>YB!</t>
  </si>
  <si>
    <t>Yarbaşı</t>
  </si>
  <si>
    <t>ZV3</t>
  </si>
  <si>
    <t>Buzlupınar rest station</t>
  </si>
  <si>
    <t>Buzlupınar Dinlenme Tesisi</t>
  </si>
  <si>
    <t>KF1</t>
  </si>
  <si>
    <t>Kilis bus station</t>
  </si>
  <si>
    <t>ZK!</t>
  </si>
  <si>
    <t>Dört İşletme Biniş Durağı</t>
  </si>
  <si>
    <t>ZS!</t>
  </si>
  <si>
    <t>Evciler Biniş Durağı</t>
  </si>
  <si>
    <t>ZV!</t>
  </si>
  <si>
    <t>Karayolları Biniş Durağı</t>
  </si>
  <si>
    <t>ZM!</t>
  </si>
  <si>
    <t>Sabancı Biniş Durağı</t>
  </si>
  <si>
    <t>UK1</t>
  </si>
  <si>
    <t>Susanoğlu bus station</t>
  </si>
  <si>
    <t>YU1</t>
  </si>
  <si>
    <t>Yerköy bus station</t>
  </si>
  <si>
    <t>SB1</t>
  </si>
  <si>
    <t>Sarıkaya bus station</t>
  </si>
  <si>
    <t>UZ1</t>
  </si>
  <si>
    <t>Boğazlıyan bus station</t>
  </si>
  <si>
    <t>CX1</t>
  </si>
  <si>
    <t>Çandır bus station</t>
  </si>
  <si>
    <t>CK1</t>
  </si>
  <si>
    <t>Çayıralan bus station</t>
  </si>
  <si>
    <t>ZQ1</t>
  </si>
  <si>
    <t>Çekerek bus station</t>
  </si>
  <si>
    <t>ZZ1</t>
  </si>
  <si>
    <t>Zile bus station</t>
  </si>
  <si>
    <t>GX1</t>
  </si>
  <si>
    <t>Sekili bus station</t>
  </si>
  <si>
    <t>CQ3</t>
  </si>
  <si>
    <t>Özyıldız rest station</t>
  </si>
  <si>
    <t>Özyıldız Dinlenme Tesisi</t>
  </si>
  <si>
    <t>QU1</t>
  </si>
  <si>
    <t>Göksun bus station</t>
  </si>
  <si>
    <t>KC3</t>
  </si>
  <si>
    <t>Kuşoğulları rest station</t>
  </si>
  <si>
    <t>Kuşoğulları Dinlenme Tesisi</t>
  </si>
  <si>
    <t>LNG-IZ</t>
  </si>
  <si>
    <t>Shell LNG fuel station Izmit</t>
  </si>
  <si>
    <t>TK3</t>
  </si>
  <si>
    <t>Türsan rest station</t>
  </si>
  <si>
    <t>Türsan Dinlenme Tesisi</t>
  </si>
  <si>
    <t>LNG-AMB</t>
  </si>
  <si>
    <t>Shell LNG fuel station Ambarkavak</t>
  </si>
  <si>
    <t>LNG-GB</t>
  </si>
  <si>
    <t>Shell LNG fuel station Gemlik Bati</t>
  </si>
  <si>
    <t>ST!</t>
  </si>
  <si>
    <t>Ladik Shell Biniş Durağı</t>
  </si>
  <si>
    <t>SZ!</t>
  </si>
  <si>
    <t>Ereğli Kavşağı Petrol(cezaevi kavşağı)</t>
  </si>
  <si>
    <t>PK1</t>
  </si>
  <si>
    <t>Kırklareli bus station</t>
  </si>
  <si>
    <t>OX1</t>
  </si>
  <si>
    <t>Büyükeceli bus station</t>
  </si>
  <si>
    <t>GK3</t>
  </si>
  <si>
    <t>Gazipaşa Kaplan rest station</t>
  </si>
  <si>
    <t>Gazipaşa Kaplan Dinlenme Tesisi</t>
  </si>
  <si>
    <t>RP1</t>
  </si>
  <si>
    <t>Karasu bus station</t>
  </si>
  <si>
    <t>GQ1</t>
  </si>
  <si>
    <t>Güre bus station</t>
  </si>
  <si>
    <t>GR3</t>
  </si>
  <si>
    <t>Gürün Velioğlu rest stop</t>
  </si>
  <si>
    <t>TP3</t>
  </si>
  <si>
    <t>Tapan rest station</t>
  </si>
  <si>
    <t>Tapan Dinlenme Tesisi</t>
  </si>
  <si>
    <t>OC3</t>
  </si>
  <si>
    <t>Ocaklı rest station</t>
  </si>
  <si>
    <t>Ocaklı Dinlenme Tesisi</t>
  </si>
  <si>
    <t>AU1</t>
  </si>
  <si>
    <t>Akyaka Go Petrol / Fethiye Yönü</t>
  </si>
  <si>
    <t>NP1</t>
  </si>
  <si>
    <t>Nizip bus station</t>
  </si>
  <si>
    <t>MI1</t>
  </si>
  <si>
    <t>Mardin bus station</t>
  </si>
  <si>
    <t>ZT1</t>
  </si>
  <si>
    <t>Kızıltepe bus station</t>
  </si>
  <si>
    <t>VR1</t>
  </si>
  <si>
    <t>Viranşehir bus station</t>
  </si>
  <si>
    <t>NS1</t>
  </si>
  <si>
    <t>Nusaybin bus station</t>
  </si>
  <si>
    <t>MY1</t>
  </si>
  <si>
    <t>Midyat bus station</t>
  </si>
  <si>
    <t>OE1</t>
  </si>
  <si>
    <t>Ömerli bus station</t>
  </si>
  <si>
    <t>TL1</t>
  </si>
  <si>
    <t>Estel bus station</t>
  </si>
  <si>
    <t>MD3</t>
  </si>
  <si>
    <t>Mengen Lezzet Dünyası rest station</t>
  </si>
  <si>
    <t>Mengen Lezzet Dünyası Dinlenme Tesisi</t>
  </si>
  <si>
    <t>DURAK SIRA NO</t>
  </si>
  <si>
    <t xml:space="preserve">Edirne </t>
  </si>
  <si>
    <t xml:space="preserve">Manisa </t>
  </si>
  <si>
    <t>Yenice  (Çanakale)</t>
  </si>
  <si>
    <t>Yenice  (Karabük)</t>
  </si>
  <si>
    <t>Izmir  Tesis</t>
  </si>
  <si>
    <t>Ankara</t>
  </si>
  <si>
    <t>İstanbul Esenler</t>
  </si>
  <si>
    <t>İstanbul Alibeyköy</t>
  </si>
  <si>
    <t>İstanbul Dudullu</t>
  </si>
  <si>
    <t>Izmir</t>
  </si>
  <si>
    <t>Gebze</t>
  </si>
  <si>
    <t>Yalova</t>
  </si>
  <si>
    <t>Bursa</t>
  </si>
  <si>
    <t>Balıkesir</t>
  </si>
  <si>
    <t>Manisa</t>
  </si>
  <si>
    <t>Sakarya</t>
  </si>
  <si>
    <t>Düzce</t>
  </si>
  <si>
    <t>Bolu</t>
  </si>
  <si>
    <t>Finike</t>
  </si>
  <si>
    <t>Kumluca</t>
  </si>
  <si>
    <t>Kemer</t>
  </si>
  <si>
    <t>Antalya</t>
  </si>
  <si>
    <t>Burdur</t>
  </si>
  <si>
    <t>Sandıklı</t>
  </si>
  <si>
    <t>Bilecik</t>
  </si>
  <si>
    <t>Isparta</t>
  </si>
  <si>
    <t>Serik</t>
  </si>
  <si>
    <t>Alanya</t>
  </si>
  <si>
    <t>Gazipaşa</t>
  </si>
  <si>
    <t>Inegol</t>
  </si>
  <si>
    <t>Keçiborlu</t>
  </si>
  <si>
    <t>Tekirdağ</t>
  </si>
  <si>
    <t>Keşan</t>
  </si>
  <si>
    <t>Edirne</t>
  </si>
  <si>
    <t>Çorlu</t>
  </si>
  <si>
    <t>Lüleburgaz</t>
  </si>
  <si>
    <t>Çerkezköy</t>
  </si>
  <si>
    <t>Saray</t>
  </si>
  <si>
    <t>Vize</t>
  </si>
  <si>
    <t>Çanakkale</t>
  </si>
  <si>
    <t>Aksaray</t>
  </si>
  <si>
    <t>Iskenderun</t>
  </si>
  <si>
    <t>Ereğli-Kdz</t>
  </si>
  <si>
    <t>Kozlu</t>
  </si>
  <si>
    <t>Zonguldak</t>
  </si>
  <si>
    <t>Söke</t>
  </si>
  <si>
    <t>Milas</t>
  </si>
  <si>
    <t>Güvercinlik</t>
  </si>
  <si>
    <t>Karabuk</t>
  </si>
  <si>
    <t>Kastamonu</t>
  </si>
  <si>
    <t>Sinop</t>
  </si>
  <si>
    <t>Kozcağız</t>
  </si>
  <si>
    <t>Gerze</t>
  </si>
  <si>
    <t>Erfelek</t>
  </si>
  <si>
    <t>Taşköprü</t>
  </si>
  <si>
    <t>Safranbolu</t>
  </si>
  <si>
    <t>Acıgöl</t>
  </si>
  <si>
    <t>Yozgat</t>
  </si>
  <si>
    <t>Van</t>
  </si>
  <si>
    <t>Uşak</t>
  </si>
  <si>
    <t>Trabzon</t>
  </si>
  <si>
    <t>Tokat</t>
  </si>
  <si>
    <t>Adana</t>
  </si>
  <si>
    <t>Tarsus</t>
  </si>
  <si>
    <t>Afyon</t>
  </si>
  <si>
    <t>Ağrı</t>
  </si>
  <si>
    <t>Sivas</t>
  </si>
  <si>
    <t>Amasya</t>
  </si>
  <si>
    <t>Samsun</t>
  </si>
  <si>
    <t>Rize</t>
  </si>
  <si>
    <t>Aydın</t>
  </si>
  <si>
    <t>Bingöl</t>
  </si>
  <si>
    <t>Bitlis</t>
  </si>
  <si>
    <t>Çorum</t>
  </si>
  <si>
    <t>Denizli</t>
  </si>
  <si>
    <t>Akçaabat</t>
  </si>
  <si>
    <t>Yenişehir (Bursa)</t>
  </si>
  <si>
    <t>Osmaniye</t>
  </si>
  <si>
    <t>Ordu</t>
  </si>
  <si>
    <t>Niğde</t>
  </si>
  <si>
    <t>Urla</t>
  </si>
  <si>
    <t>Nevşehir</t>
  </si>
  <si>
    <t>Muş</t>
  </si>
  <si>
    <t>Ünye</t>
  </si>
  <si>
    <t>Akhisar</t>
  </si>
  <si>
    <t>Muğla</t>
  </si>
  <si>
    <t>Akşehir</t>
  </si>
  <si>
    <t>Turhal</t>
  </si>
  <si>
    <t>Mersin</t>
  </si>
  <si>
    <t>Elazığ</t>
  </si>
  <si>
    <t>Alaşehir</t>
  </si>
  <si>
    <t>Turgutlu</t>
  </si>
  <si>
    <t>Aliağa</t>
  </si>
  <si>
    <t>Erzincan</t>
  </si>
  <si>
    <t>Terme</t>
  </si>
  <si>
    <t>Manavgat</t>
  </si>
  <si>
    <t>Erzurum</t>
  </si>
  <si>
    <t>Arhavi</t>
  </si>
  <si>
    <t>Malatya</t>
  </si>
  <si>
    <t>Artvin</t>
  </si>
  <si>
    <t>Tekkeköy</t>
  </si>
  <si>
    <t>Kütahya</t>
  </si>
  <si>
    <t>Ayvalık</t>
  </si>
  <si>
    <t>Bafra</t>
  </si>
  <si>
    <t>Tavşanlı</t>
  </si>
  <si>
    <t>Bandırma</t>
  </si>
  <si>
    <t>Bartın</t>
  </si>
  <si>
    <t>Tatvan</t>
  </si>
  <si>
    <t>Sorgun</t>
  </si>
  <si>
    <t>Gaziantep</t>
  </si>
  <si>
    <t>Konya</t>
  </si>
  <si>
    <t>Salihli</t>
  </si>
  <si>
    <t>Kocaeli</t>
  </si>
  <si>
    <t>Kırşehir</t>
  </si>
  <si>
    <t>Giresun</t>
  </si>
  <si>
    <t>Polatlı</t>
  </si>
  <si>
    <t>Hatay</t>
  </si>
  <si>
    <t>Patnos</t>
  </si>
  <si>
    <t>Beyşehir</t>
  </si>
  <si>
    <t>Ortaca</t>
  </si>
  <si>
    <t>Orhangazi</t>
  </si>
  <si>
    <t>Biga</t>
  </si>
  <si>
    <t>Nazilli</t>
  </si>
  <si>
    <t>Bodrum</t>
  </si>
  <si>
    <t>Mudanya</t>
  </si>
  <si>
    <t>Bor</t>
  </si>
  <si>
    <t>Bozüyük</t>
  </si>
  <si>
    <t>Merzifon</t>
  </si>
  <si>
    <t>Bucak</t>
  </si>
  <si>
    <t>Menemen</t>
  </si>
  <si>
    <t>Bulancak</t>
  </si>
  <si>
    <t>Kahramanmaraş</t>
  </si>
  <si>
    <t>Marmaris</t>
  </si>
  <si>
    <t>Burhaniye</t>
  </si>
  <si>
    <t>M.Kemal Paşa</t>
  </si>
  <si>
    <t>Karaman</t>
  </si>
  <si>
    <t>Kayseri</t>
  </si>
  <si>
    <t>Kuşadası</t>
  </si>
  <si>
    <t>Kırıkkale</t>
  </si>
  <si>
    <t>Erciş</t>
  </si>
  <si>
    <t>Kulu</t>
  </si>
  <si>
    <t>Kozan</t>
  </si>
  <si>
    <t>Korkuteli</t>
  </si>
  <si>
    <t>Kırıkhan</t>
  </si>
  <si>
    <t>Erbaa</t>
  </si>
  <si>
    <t>Kaş</t>
  </si>
  <si>
    <t>Karacabey</t>
  </si>
  <si>
    <t>Edremit</t>
  </si>
  <si>
    <t>Kadirli</t>
  </si>
  <si>
    <t>Ilgin</t>
  </si>
  <si>
    <t>Gümüşhane</t>
  </si>
  <si>
    <t>Gönen</t>
  </si>
  <si>
    <t>Gölcük</t>
  </si>
  <si>
    <t>Gemlik</t>
  </si>
  <si>
    <t>Fethiye</t>
  </si>
  <si>
    <t>Fatsa</t>
  </si>
  <si>
    <t>Ereğli-Konya</t>
  </si>
  <si>
    <t>Dörtyol</t>
  </si>
  <si>
    <t>Didim</t>
  </si>
  <si>
    <t>Devrek</t>
  </si>
  <si>
    <t>Çivril</t>
  </si>
  <si>
    <t>Cihanbeyli</t>
  </si>
  <si>
    <t>Ceyhan</t>
  </si>
  <si>
    <t>Çaycuma</t>
  </si>
  <si>
    <t>Çarşamba</t>
  </si>
  <si>
    <t>Zara</t>
  </si>
  <si>
    <t>Yıldızeli</t>
  </si>
  <si>
    <t>Yeniçağa</t>
  </si>
  <si>
    <t>Yalvaç</t>
  </si>
  <si>
    <t>Akçakoca</t>
  </si>
  <si>
    <t>Akçay</t>
  </si>
  <si>
    <t>Akdağmadeni</t>
  </si>
  <si>
    <t>Erdemli</t>
  </si>
  <si>
    <t>Elmadağ</t>
  </si>
  <si>
    <t>Yatağan</t>
  </si>
  <si>
    <t>Vakfıkebir</t>
  </si>
  <si>
    <t>Ürgüp</t>
  </si>
  <si>
    <t>Emet</t>
  </si>
  <si>
    <t>Uluborlu</t>
  </si>
  <si>
    <t>Emirdağ</t>
  </si>
  <si>
    <t>Erdek</t>
  </si>
  <si>
    <t>Erzin</t>
  </si>
  <si>
    <t>Espiye</t>
  </si>
  <si>
    <t>Küçükkuyu</t>
  </si>
  <si>
    <t>Kula (Manisa)</t>
  </si>
  <si>
    <t>Lapseki</t>
  </si>
  <si>
    <t>Mucur</t>
  </si>
  <si>
    <t>Of</t>
  </si>
  <si>
    <t>Osmancık</t>
  </si>
  <si>
    <t>Özdere</t>
  </si>
  <si>
    <t>Pazar</t>
  </si>
  <si>
    <t>Perşembe</t>
  </si>
  <si>
    <t>Salihleraltı</t>
  </si>
  <si>
    <t>Sarayköy</t>
  </si>
  <si>
    <t>Sarımsaklı</t>
  </si>
  <si>
    <t>Şarkikaraağaç</t>
  </si>
  <si>
    <t>Şarkışla</t>
  </si>
  <si>
    <t>Seferihisar</t>
  </si>
  <si>
    <t>Selçuk</t>
  </si>
  <si>
    <t>Alaca</t>
  </si>
  <si>
    <t>Alaçam</t>
  </si>
  <si>
    <t>Alaplı</t>
  </si>
  <si>
    <t>Senirkent</t>
  </si>
  <si>
    <t>Solhan</t>
  </si>
  <si>
    <t>Suluova</t>
  </si>
  <si>
    <t>Sungurlu</t>
  </si>
  <si>
    <t>Suşehri</t>
  </si>
  <si>
    <t>Ezine</t>
  </si>
  <si>
    <t>Altınoluk</t>
  </si>
  <si>
    <t>Altınova</t>
  </si>
  <si>
    <t>Gelibolu</t>
  </si>
  <si>
    <t>Amasra</t>
  </si>
  <si>
    <t>Susurluk</t>
  </si>
  <si>
    <t>Gevaş</t>
  </si>
  <si>
    <t>Geyikli</t>
  </si>
  <si>
    <t>Tavas</t>
  </si>
  <si>
    <t>Tefenni</t>
  </si>
  <si>
    <t>Tirebolu</t>
  </si>
  <si>
    <t>Görele</t>
  </si>
  <si>
    <t>Tosya</t>
  </si>
  <si>
    <t>Göreme</t>
  </si>
  <si>
    <t>Gülşehir</t>
  </si>
  <si>
    <t>Güroymak</t>
  </si>
  <si>
    <t>Gürün</t>
  </si>
  <si>
    <t>Hacıbektaş</t>
  </si>
  <si>
    <t>Havza</t>
  </si>
  <si>
    <t>Hopa</t>
  </si>
  <si>
    <t>İmamoğlu</t>
  </si>
  <si>
    <t>İmranlı</t>
  </si>
  <si>
    <t>İspir</t>
  </si>
  <si>
    <t>İznik</t>
  </si>
  <si>
    <t>Araç</t>
  </si>
  <si>
    <t>Ardeşen</t>
  </si>
  <si>
    <t>Kalkan</t>
  </si>
  <si>
    <t>Artur</t>
  </si>
  <si>
    <t>Karapınar</t>
  </si>
  <si>
    <t>Kavak</t>
  </si>
  <si>
    <t>Kovancılar</t>
  </si>
  <si>
    <t>Köyceğiz</t>
  </si>
  <si>
    <t>Aşkale</t>
  </si>
  <si>
    <t>Avanos</t>
  </si>
  <si>
    <t>Belek</t>
  </si>
  <si>
    <t>Beşikdüzü</t>
  </si>
  <si>
    <t>Bolvadin</t>
  </si>
  <si>
    <t>Boyabat</t>
  </si>
  <si>
    <t>Buldan</t>
  </si>
  <si>
    <t>Çan</t>
  </si>
  <si>
    <t>Çandarlı</t>
  </si>
  <si>
    <t>Çarşıbaşı</t>
  </si>
  <si>
    <t>Çavdır</t>
  </si>
  <si>
    <t>Çay</t>
  </si>
  <si>
    <t>Çayeli</t>
  </si>
  <si>
    <t>Çeşme</t>
  </si>
  <si>
    <t>Çeşme Alaçatı</t>
  </si>
  <si>
    <t>Çeşme Ilıca</t>
  </si>
  <si>
    <t>Cide</t>
  </si>
  <si>
    <t>Çiftlik</t>
  </si>
  <si>
    <t>Çine</t>
  </si>
  <si>
    <t>Dalaman</t>
  </si>
  <si>
    <t>Darende</t>
  </si>
  <si>
    <t>Datça</t>
  </si>
  <si>
    <t>Dikili</t>
  </si>
  <si>
    <t>Dinar</t>
  </si>
  <si>
    <t>Eğirdir</t>
  </si>
  <si>
    <t>Eleşkirt</t>
  </si>
  <si>
    <t>Karamürsel</t>
  </si>
  <si>
    <t>Bergama</t>
  </si>
  <si>
    <t>Payas</t>
  </si>
  <si>
    <t>Acıpayam</t>
  </si>
  <si>
    <t>Ahlat</t>
  </si>
  <si>
    <t>Turgutreis</t>
  </si>
  <si>
    <t>Anamur</t>
  </si>
  <si>
    <t>Bafa</t>
  </si>
  <si>
    <t>Bayburt</t>
  </si>
  <si>
    <t>Bozdoğan</t>
  </si>
  <si>
    <t>Çaldıran</t>
  </si>
  <si>
    <t>Eynesil</t>
  </si>
  <si>
    <t>Gerede</t>
  </si>
  <si>
    <t>Gökova</t>
  </si>
  <si>
    <t>Gölhisar</t>
  </si>
  <si>
    <t>Güzelçamlı</t>
  </si>
  <si>
    <t>Hafik</t>
  </si>
  <si>
    <t>Kadınhanı</t>
  </si>
  <si>
    <t>Keşap</t>
  </si>
  <si>
    <t>Muradiye</t>
  </si>
  <si>
    <t>Niksar</t>
  </si>
  <si>
    <t>Refahiye</t>
  </si>
  <si>
    <t>Sarıgöl</t>
  </si>
  <si>
    <t>Seydişehir</t>
  </si>
  <si>
    <t>Tutak</t>
  </si>
  <si>
    <t>Ortaköy</t>
  </si>
  <si>
    <t>Piraziz</t>
  </si>
  <si>
    <t>Göcek</t>
  </si>
  <si>
    <t>Borçka</t>
  </si>
  <si>
    <t>Aydıncık</t>
  </si>
  <si>
    <t>Akyazı</t>
  </si>
  <si>
    <t>Kuzuluk</t>
  </si>
  <si>
    <t>Sapanca</t>
  </si>
  <si>
    <t>Ödemiş</t>
  </si>
  <si>
    <t>Torbalı</t>
  </si>
  <si>
    <t>Tire</t>
  </si>
  <si>
    <t>Kızılcahamam</t>
  </si>
  <si>
    <t>Nallıhan</t>
  </si>
  <si>
    <t>Beypazarı</t>
  </si>
  <si>
    <t>Abdipaşa</t>
  </si>
  <si>
    <t>Ulus</t>
  </si>
  <si>
    <t>Boyalıca</t>
  </si>
  <si>
    <t>Oğulpaşa</t>
  </si>
  <si>
    <t>Kaynarca (Bursa)</t>
  </si>
  <si>
    <t>Beşevler</t>
  </si>
  <si>
    <t>Çerkeşli</t>
  </si>
  <si>
    <t>Mekece</t>
  </si>
  <si>
    <t>Hayrettin</t>
  </si>
  <si>
    <t>Pamukova</t>
  </si>
  <si>
    <t>Alifuatpaşa</t>
  </si>
  <si>
    <t>Çiftlikköy (Yalova)</t>
  </si>
  <si>
    <t>Topçular (Yalova)</t>
  </si>
  <si>
    <t>Altınova (Yalova)</t>
  </si>
  <si>
    <t>Değirmendere (Kocaeli)</t>
  </si>
  <si>
    <t>İstanbul Harem</t>
  </si>
  <si>
    <t>Yamuçlar</t>
  </si>
  <si>
    <t>Sulusaray</t>
  </si>
  <si>
    <t>Yeşilyurt</t>
  </si>
  <si>
    <t>Artova</t>
  </si>
  <si>
    <t>Veterinerlik Fakülte</t>
  </si>
  <si>
    <t>Istanbul Yolu Metro Istasyonu</t>
  </si>
  <si>
    <t>Gülüç Işıklar</t>
  </si>
  <si>
    <t>Belediye Plajı</t>
  </si>
  <si>
    <t>Göktepe Bp Petrol</t>
  </si>
  <si>
    <t>Cumhuriyet Lisesi</t>
  </si>
  <si>
    <t>Evrim Otel Biniş</t>
  </si>
  <si>
    <t>Bayat Sapak</t>
  </si>
  <si>
    <t>Çaydeğirmeni</t>
  </si>
  <si>
    <t>Bakacakkadı Damak Tadı</t>
  </si>
  <si>
    <t>Çatak</t>
  </si>
  <si>
    <t>Bizim Market</t>
  </si>
  <si>
    <t>Beycuma Yol Ayrımı</t>
  </si>
  <si>
    <t>Karaman Merkez</t>
  </si>
  <si>
    <t>Sücüllü</t>
  </si>
  <si>
    <t>Ilık Su</t>
  </si>
  <si>
    <t>Fatih Sitesi</t>
  </si>
  <si>
    <t>Tıp Fakültesi</t>
  </si>
  <si>
    <t>Elmacı</t>
  </si>
  <si>
    <t>Öğrenci Yurt</t>
  </si>
  <si>
    <t>Terziköy</t>
  </si>
  <si>
    <t>Kelkit</t>
  </si>
  <si>
    <t>Silifke</t>
  </si>
  <si>
    <t>Altunhisar</t>
  </si>
  <si>
    <t>Siirt</t>
  </si>
  <si>
    <t>Kurtalan</t>
  </si>
  <si>
    <t>Batman</t>
  </si>
  <si>
    <t>Bismil</t>
  </si>
  <si>
    <t>Diyarbakır</t>
  </si>
  <si>
    <t>Siverek</t>
  </si>
  <si>
    <t>Hilvan</t>
  </si>
  <si>
    <t>Şanlıurfa</t>
  </si>
  <si>
    <t>Silvan</t>
  </si>
  <si>
    <t>Ergani</t>
  </si>
  <si>
    <t>Kilis</t>
  </si>
  <si>
    <t>Susanoğlu</t>
  </si>
  <si>
    <t>Yerköy</t>
  </si>
  <si>
    <t>Sarıkaya</t>
  </si>
  <si>
    <t>Boğazlıyan</t>
  </si>
  <si>
    <t>Çandır</t>
  </si>
  <si>
    <t>Çayıralan</t>
  </si>
  <si>
    <t>Çekerek</t>
  </si>
  <si>
    <t>Zile</t>
  </si>
  <si>
    <t>Sekili</t>
  </si>
  <si>
    <t>Göksun</t>
  </si>
  <si>
    <t>Kırklareli</t>
  </si>
  <si>
    <t>Büyükeceli</t>
  </si>
  <si>
    <t>Karasu</t>
  </si>
  <si>
    <t>Güre</t>
  </si>
  <si>
    <t>Gürün Velioğlu</t>
  </si>
  <si>
    <t>Nizip</t>
  </si>
  <si>
    <t>Mardin</t>
  </si>
  <si>
    <t>Kızıltepe</t>
  </si>
  <si>
    <t>Viranşehir</t>
  </si>
  <si>
    <t>Nusaybin</t>
  </si>
  <si>
    <t>Midyat</t>
  </si>
  <si>
    <t>Ömerli</t>
  </si>
  <si>
    <t>Estel</t>
  </si>
  <si>
    <t>Eskişehir</t>
  </si>
  <si>
    <t>Ankara Eskişehir Yolu</t>
  </si>
  <si>
    <t>Eskişehir bus station</t>
  </si>
  <si>
    <t>BAĞLI OLDUĞU TUR</t>
  </si>
  <si>
    <t>Izmir Tesis</t>
  </si>
  <si>
    <t>→</t>
  </si>
  <si>
    <t>TALEP TARİHİ</t>
  </si>
  <si>
    <t>HAT KODU</t>
  </si>
  <si>
    <t>KALKIŞ DURAĞI</t>
  </si>
  <si>
    <t>BAĞLI OLDUĞU
TUR</t>
  </si>
  <si>
    <t>VARIŞ DURAĞI</t>
  </si>
  <si>
    <t>YASAK EKLEME / KALDIRMA</t>
  </si>
  <si>
    <t>S.N.</t>
  </si>
  <si>
    <t>YASAK EKLENECEK / KALDIRILACAK DURAKLAR</t>
  </si>
  <si>
    <t>ANA DURAK KALKIŞ SAATİ       →</t>
  </si>
  <si>
    <t>SEYAHAT SÜRESİ  →</t>
  </si>
  <si>
    <t>PERON SÜRESİ     →</t>
  </si>
  <si>
    <t>VARIŞ     →</t>
  </si>
  <si>
    <t>KALKIŞ   →</t>
  </si>
  <si>
    <t>YASAKLA</t>
  </si>
  <si>
    <t>YASAKLAMA</t>
  </si>
  <si>
    <t>DURAKLAR ARASI YASAK EKLEME / KALDIRMA FORMU</t>
  </si>
  <si>
    <t>SEFER ZAMAN / GÜZERGAH TALEP FORMU</t>
  </si>
  <si>
    <t>SAYFADA SADECE BEYAZ RENKLİ HÜCRELER DOLDURULACAKTIR !!</t>
  </si>
  <si>
    <t>Erkan İPEK</t>
  </si>
  <si>
    <t>FETHİYE</t>
  </si>
  <si>
    <t>KIRIKHAN</t>
  </si>
  <si>
    <t>İSKENDERUN</t>
  </si>
  <si>
    <t>PAYAS</t>
  </si>
  <si>
    <t>DÖRTYOL</t>
  </si>
  <si>
    <t>CEYHAN</t>
  </si>
  <si>
    <t>ADANA</t>
  </si>
  <si>
    <t>TARSUS</t>
  </si>
  <si>
    <t>MERSİN</t>
  </si>
  <si>
    <t>ERDEMLİ</t>
  </si>
  <si>
    <t>SİLİFKE</t>
  </si>
  <si>
    <t xml:space="preserve">BREAK MOLA </t>
  </si>
  <si>
    <t>ANAMUR</t>
  </si>
  <si>
    <t>GAZİPAŞA ÇELİKLER MOLA</t>
  </si>
  <si>
    <t>GAZİPAŞA</t>
  </si>
  <si>
    <t>ALANYA</t>
  </si>
  <si>
    <t>MANAVGAT</t>
  </si>
  <si>
    <t>SERİK</t>
  </si>
  <si>
    <t>ANTALYA</t>
  </si>
  <si>
    <t>GAZİAPAŞA</t>
  </si>
  <si>
    <t>GAZİAPAŞA ÇELİKLER</t>
  </si>
  <si>
    <t>BREAK MOLA</t>
  </si>
  <si>
    <t>HATAY</t>
  </si>
  <si>
    <t>Çukurova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</si>
</sst>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;@"/>
    <numFmt numFmtId="165" formatCode="[$-F800]dddd\,\ mmmm\ dd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5"/>
      <color rgb="FF002060"/>
      <name val="Calibri"/>
      <family val="2"/>
      <charset val="16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30"/>
      <color theme="1"/>
      <name val="Calibri"/>
      <family val="2"/>
      <charset val="162"/>
      <scheme val="minor"/>
    </font>
    <font>
      <b/>
      <sz val="25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b/>
      <sz val="30"/>
      <name val="Calibri"/>
      <family val="2"/>
      <scheme val="minor"/>
    </font>
    <font>
      <b/>
      <sz val="20"/>
      <name val="Calibri"/>
      <family val="2"/>
      <scheme val="minor"/>
    </font>
    <font>
      <b/>
      <sz val="25"/>
      <name val="Calibri"/>
      <family val="2"/>
      <charset val="162"/>
    </font>
    <font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5"/>
      <name val="Calibri"/>
      <family val="2"/>
      <charset val="162"/>
      <scheme val="minor"/>
    </font>
    <font>
      <b/>
      <sz val="19"/>
      <name val="Calibri"/>
      <family val="2"/>
      <scheme val="minor"/>
    </font>
    <font>
      <b/>
      <sz val="25"/>
      <color theme="1"/>
      <name val="Calibri"/>
      <family val="2"/>
      <charset val="162"/>
      <scheme val="minor"/>
    </font>
    <font>
      <b/>
      <sz val="23"/>
      <color theme="1"/>
      <name val="Calibri"/>
      <family val="2"/>
      <charset val="162"/>
      <scheme val="minor"/>
    </font>
    <font>
      <b/>
      <sz val="25"/>
      <color rgb="FFFF0000"/>
      <name val="Calibri"/>
      <family val="2"/>
      <scheme val="minor"/>
    </font>
    <font>
      <b/>
      <sz val="35"/>
      <name val="Calibri"/>
      <family val="2"/>
      <charset val="162"/>
      <scheme val="minor"/>
    </font>
    <font>
      <b/>
      <sz val="30"/>
      <color theme="0"/>
      <name val="Calibri"/>
      <family val="2"/>
      <charset val="162"/>
      <scheme val="minor"/>
    </font>
    <font>
      <sz val="23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1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0" fontId="6" fillId="0" borderId="0" xfId="0" applyFont="1"/>
    <xf numFmtId="0" fontId="0" fillId="0" borderId="0" xfId="0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0" fillId="6" borderId="0" xfId="0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 wrapText="1"/>
    </xf>
    <xf numFmtId="164" fontId="12" fillId="0" borderId="8" xfId="0" applyNumberFormat="1" applyFont="1" applyBorder="1" applyAlignment="1" applyProtection="1">
      <alignment horizontal="center" vertical="center"/>
      <protection locked="0"/>
    </xf>
    <xf numFmtId="164" fontId="12" fillId="0" borderId="13" xfId="0" applyNumberFormat="1" applyFont="1" applyBorder="1" applyAlignment="1" applyProtection="1">
      <alignment horizontal="center" vertical="center"/>
      <protection locked="0"/>
    </xf>
    <xf numFmtId="164" fontId="12" fillId="0" borderId="3" xfId="0" applyNumberFormat="1" applyFont="1" applyBorder="1" applyAlignment="1" applyProtection="1">
      <alignment horizontal="center" vertical="center"/>
      <protection locked="0"/>
    </xf>
    <xf numFmtId="20" fontId="12" fillId="0" borderId="4" xfId="0" applyNumberFormat="1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28" fillId="7" borderId="0" xfId="0" applyFont="1" applyFill="1" applyAlignment="1" applyProtection="1">
      <alignment horizontal="center" vertical="center"/>
      <protection locked="0"/>
    </xf>
    <xf numFmtId="0" fontId="10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164" fontId="7" fillId="6" borderId="0" xfId="0" applyNumberFormat="1" applyFont="1" applyFill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6" borderId="0" xfId="0" applyFill="1" applyAlignment="1">
      <alignment horizontal="center" vertical="center" wrapText="1"/>
    </xf>
    <xf numFmtId="164" fontId="0" fillId="6" borderId="0" xfId="0" applyNumberFormat="1" applyFill="1" applyAlignment="1">
      <alignment horizontal="center" vertical="center" wrapText="1"/>
    </xf>
    <xf numFmtId="0" fontId="8" fillId="6" borderId="0" xfId="0" applyFont="1" applyFill="1"/>
    <xf numFmtId="0" fontId="22" fillId="6" borderId="9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vertical="center"/>
    </xf>
    <xf numFmtId="0" fontId="20" fillId="6" borderId="4" xfId="0" applyFont="1" applyFill="1" applyBorder="1" applyAlignment="1">
      <alignment vertical="center"/>
    </xf>
    <xf numFmtId="164" fontId="20" fillId="6" borderId="12" xfId="0" applyNumberFormat="1" applyFont="1" applyFill="1" applyBorder="1" applyAlignment="1">
      <alignment horizontal="left" vertical="center"/>
    </xf>
    <xf numFmtId="164" fontId="12" fillId="6" borderId="3" xfId="0" applyNumberFormat="1" applyFont="1" applyFill="1" applyBorder="1" applyAlignment="1">
      <alignment horizontal="center" vertical="center" wrapText="1"/>
    </xf>
    <xf numFmtId="164" fontId="20" fillId="6" borderId="11" xfId="0" applyNumberFormat="1" applyFont="1" applyFill="1" applyBorder="1" applyAlignment="1">
      <alignment horizontal="left" vertical="center"/>
    </xf>
    <xf numFmtId="164" fontId="12" fillId="6" borderId="4" xfId="0" applyNumberFormat="1" applyFont="1" applyFill="1" applyBorder="1" applyAlignment="1">
      <alignment horizontal="center" vertical="center" wrapText="1"/>
    </xf>
    <xf numFmtId="164" fontId="12" fillId="6" borderId="14" xfId="0" applyNumberFormat="1" applyFont="1" applyFill="1" applyBorder="1" applyAlignment="1">
      <alignment horizontal="center" vertical="center" wrapText="1"/>
    </xf>
    <xf numFmtId="0" fontId="13" fillId="6" borderId="0" xfId="0" applyFont="1" applyFill="1"/>
    <xf numFmtId="0" fontId="20" fillId="6" borderId="12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top" wrapText="1"/>
    </xf>
    <xf numFmtId="0" fontId="14" fillId="5" borderId="13" xfId="0" applyFont="1" applyFill="1" applyBorder="1" applyAlignment="1">
      <alignment horizontal="center" vertical="top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/>
      <protection locked="0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164" fontId="12" fillId="0" borderId="3" xfId="0" applyNumberFormat="1" applyFont="1" applyBorder="1" applyAlignment="1" applyProtection="1">
      <alignment horizontal="center" vertical="center" wrapText="1"/>
      <protection locked="0"/>
    </xf>
    <xf numFmtId="164" fontId="12" fillId="0" borderId="4" xfId="0" applyNumberFormat="1" applyFont="1" applyBorder="1" applyAlignment="1" applyProtection="1">
      <alignment horizontal="center" vertical="center" wrapText="1"/>
      <protection locked="0"/>
    </xf>
    <xf numFmtId="164" fontId="22" fillId="6" borderId="11" xfId="0" applyNumberFormat="1" applyFont="1" applyFill="1" applyBorder="1" applyAlignment="1">
      <alignment horizontal="center" vertical="center" wrapText="1"/>
    </xf>
    <xf numFmtId="164" fontId="22" fillId="6" borderId="13" xfId="0" applyNumberFormat="1" applyFont="1" applyFill="1" applyBorder="1" applyAlignment="1">
      <alignment horizontal="center" vertical="center" wrapText="1"/>
    </xf>
    <xf numFmtId="164" fontId="22" fillId="6" borderId="9" xfId="0" applyNumberFormat="1" applyFont="1" applyFill="1" applyBorder="1" applyAlignment="1">
      <alignment horizontal="center" vertical="center" wrapText="1"/>
    </xf>
    <xf numFmtId="164" fontId="22" fillId="6" borderId="6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 applyProtection="1">
      <alignment horizontal="center" vertical="center" wrapText="1"/>
      <protection locked="0"/>
    </xf>
    <xf numFmtId="164" fontId="12" fillId="0" borderId="14" xfId="0" applyNumberFormat="1" applyFont="1" applyBorder="1" applyAlignment="1" applyProtection="1">
      <alignment horizontal="center" vertical="center" wrapText="1"/>
      <protection locked="0"/>
    </xf>
    <xf numFmtId="0" fontId="22" fillId="6" borderId="11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5" fillId="5" borderId="9" xfId="2" applyFont="1" applyFill="1" applyBorder="1" applyAlignment="1" applyProtection="1">
      <alignment horizontal="center" vertical="center" wrapText="1"/>
    </xf>
    <xf numFmtId="0" fontId="5" fillId="5" borderId="6" xfId="2" applyFont="1" applyFill="1" applyBorder="1" applyAlignment="1" applyProtection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 wrapText="1"/>
    </xf>
    <xf numFmtId="165" fontId="15" fillId="0" borderId="9" xfId="0" applyNumberFormat="1" applyFont="1" applyBorder="1" applyAlignment="1" applyProtection="1">
      <alignment horizontal="center" vertical="center"/>
      <protection locked="0"/>
    </xf>
    <xf numFmtId="165" fontId="15" fillId="0" borderId="10" xfId="0" applyNumberFormat="1" applyFont="1" applyBorder="1" applyAlignment="1" applyProtection="1">
      <alignment horizontal="center" vertical="center"/>
      <protection locked="0"/>
    </xf>
    <xf numFmtId="165" fontId="15" fillId="0" borderId="6" xfId="0" applyNumberFormat="1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3" xfId="0" applyFont="1" applyFill="1" applyBorder="1" applyAlignment="1" applyProtection="1">
      <alignment horizontal="center" vertical="center" wrapText="1"/>
      <protection locked="0"/>
    </xf>
    <xf numFmtId="0" fontId="19" fillId="0" borderId="4" xfId="0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0" fontId="5" fillId="5" borderId="9" xfId="2" applyFont="1" applyFill="1" applyBorder="1" applyAlignment="1" applyProtection="1">
      <alignment horizontal="center" vertical="center"/>
    </xf>
    <xf numFmtId="0" fontId="5" fillId="5" borderId="6" xfId="2" applyFont="1" applyFill="1" applyBorder="1" applyAlignment="1" applyProtection="1">
      <alignment horizontal="center" vertical="center"/>
    </xf>
    <xf numFmtId="0" fontId="16" fillId="5" borderId="12" xfId="1" applyFont="1" applyFill="1" applyBorder="1" applyAlignment="1" applyProtection="1">
      <alignment horizontal="center" vertical="center"/>
    </xf>
    <xf numFmtId="0" fontId="16" fillId="5" borderId="5" xfId="1" applyFont="1" applyFill="1" applyBorder="1" applyAlignment="1" applyProtection="1">
      <alignment horizontal="center" vertical="center"/>
    </xf>
    <xf numFmtId="0" fontId="16" fillId="5" borderId="8" xfId="1" applyFont="1" applyFill="1" applyBorder="1" applyAlignment="1" applyProtection="1">
      <alignment horizontal="center" vertical="center"/>
    </xf>
    <xf numFmtId="0" fontId="16" fillId="5" borderId="11" xfId="1" applyFont="1" applyFill="1" applyBorder="1" applyAlignment="1" applyProtection="1">
      <alignment horizontal="center" vertical="center"/>
    </xf>
    <xf numFmtId="0" fontId="16" fillId="5" borderId="7" xfId="1" applyFont="1" applyFill="1" applyBorder="1" applyAlignment="1" applyProtection="1">
      <alignment horizontal="center" vertical="center"/>
    </xf>
    <xf numFmtId="0" fontId="16" fillId="5" borderId="13" xfId="1" applyFont="1" applyFill="1" applyBorder="1" applyAlignment="1" applyProtection="1">
      <alignment horizontal="center" vertical="center"/>
    </xf>
    <xf numFmtId="0" fontId="17" fillId="5" borderId="12" xfId="1" applyFont="1" applyFill="1" applyBorder="1" applyAlignment="1" applyProtection="1">
      <alignment horizontal="center" vertical="center" wrapText="1"/>
    </xf>
    <xf numFmtId="0" fontId="17" fillId="5" borderId="5" xfId="1" applyFont="1" applyFill="1" applyBorder="1" applyAlignment="1" applyProtection="1">
      <alignment horizontal="center" vertical="center" wrapText="1"/>
    </xf>
    <xf numFmtId="0" fontId="17" fillId="5" borderId="11" xfId="1" applyFont="1" applyFill="1" applyBorder="1" applyAlignment="1" applyProtection="1">
      <alignment horizontal="center" vertical="center" wrapText="1"/>
    </xf>
    <xf numFmtId="0" fontId="17" fillId="5" borderId="7" xfId="1" applyFont="1" applyFill="1" applyBorder="1" applyAlignment="1" applyProtection="1">
      <alignment horizontal="center" vertical="center" wrapText="1"/>
    </xf>
    <xf numFmtId="0" fontId="18" fillId="5" borderId="5" xfId="1" applyFont="1" applyFill="1" applyBorder="1" applyAlignment="1" applyProtection="1">
      <alignment horizontal="center" vertical="center"/>
    </xf>
    <xf numFmtId="0" fontId="11" fillId="5" borderId="7" xfId="1" applyFont="1" applyFill="1" applyBorder="1" applyAlignment="1" applyProtection="1">
      <alignment horizontal="center" vertical="center"/>
    </xf>
    <xf numFmtId="164" fontId="25" fillId="5" borderId="8" xfId="1" applyNumberFormat="1" applyFont="1" applyFill="1" applyBorder="1" applyAlignment="1" applyProtection="1">
      <alignment horizontal="center" vertical="center"/>
    </xf>
    <xf numFmtId="164" fontId="25" fillId="5" borderId="13" xfId="1" applyNumberFormat="1" applyFont="1" applyFill="1" applyBorder="1" applyAlignment="1" applyProtection="1">
      <alignment horizontal="center" vertical="center"/>
    </xf>
    <xf numFmtId="0" fontId="26" fillId="5" borderId="11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165" fontId="28" fillId="0" borderId="2" xfId="0" applyNumberFormat="1" applyFont="1" applyBorder="1" applyAlignment="1" applyProtection="1">
      <alignment horizontal="center" vertical="center"/>
      <protection locked="0"/>
    </xf>
  </cellXfs>
  <cellStyles count="3">
    <cellStyle name="%40 - Vurgu6" xfId="2" builtinId="51"/>
    <cellStyle name="Giriş" xfId="1" builtinId="20"/>
    <cellStyle name="Normal" xfId="0" builtinId="0"/>
  </cellStyles>
  <dxfs count="15">
    <dxf>
      <font>
        <b val="0"/>
        <strike val="0"/>
        <outline val="0"/>
        <shadow val="0"/>
        <u val="none"/>
        <vertAlign val="baseline"/>
        <sz val="23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5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color rgb="FF0070C0"/>
      </font>
    </dxf>
    <dxf>
      <font>
        <b/>
        <i val="0"/>
        <color rgb="FF9C0006"/>
      </font>
    </dxf>
    <dxf>
      <font>
        <color rgb="FFFFCC99"/>
      </font>
    </dxf>
    <dxf>
      <fill>
        <patternFill>
          <bgColor theme="0"/>
        </patternFill>
      </fill>
    </dxf>
    <dxf>
      <fill>
        <patternFill>
          <bgColor rgb="FFFFCC9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rgb="FFCC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Tablo Stili 1" pivot="0" count="3">
      <tableStyleElement type="wholeTable" dxfId="14"/>
      <tableStyleElement type="secondRowStripe" dxfId="13"/>
      <tableStyleElement type="firstColumnStripe" dxfId="12"/>
    </tableStyle>
    <tableStyle name="Tablo Stili 2" pivot="0" count="2">
      <tableStyleElement type="wholeTable" dxfId="11"/>
      <tableStyleElement type="secondRowStripe" dxfId="10"/>
    </tableStyle>
  </tableStyles>
  <colors>
    <mruColors>
      <color rgb="FFCCFF99"/>
      <color rgb="FF002060"/>
      <color rgb="FFCCFF67"/>
      <color rgb="FFA8F16B"/>
      <color rgb="FFCCCCFF"/>
      <color rgb="FFFFCC99"/>
      <color rgb="FFFF996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3" name="Tablo14" displayName="Tablo14" ref="A7:E57" totalsRowShown="0" headerRowDxfId="6" dataDxfId="5">
  <autoFilter ref="A7:E57"/>
  <tableColumns count="5">
    <tableColumn id="10" name="S.N." dataDxfId="4"/>
    <tableColumn id="4" name="HAT KODU" dataDxfId="3"/>
    <tableColumn id="1" name="KALKIŞ DURAĞI" dataDxfId="2"/>
    <tableColumn id="2" name="VARIŞ DURAĞI" dataDxfId="1"/>
    <tableColumn id="3" name="YASAK EKLEME / KALDIRMA" dataDxfId="0"/>
  </tableColumns>
  <tableStyleInfo name="Tablo Stili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0"/>
  <sheetViews>
    <sheetView showGridLines="0" tabSelected="1" view="pageBreakPreview" topLeftCell="A8" zoomScale="70" zoomScaleNormal="70" zoomScaleSheetLayoutView="70" workbookViewId="0">
      <selection activeCell="L10" sqref="L10:M10"/>
    </sheetView>
  </sheetViews>
  <sheetFormatPr defaultRowHeight="15" x14ac:dyDescent="0.25"/>
  <cols>
    <col min="1" max="1" width="14" style="1" bestFit="1" customWidth="1"/>
    <col min="2" max="2" width="15.7109375" style="3" customWidth="1"/>
    <col min="3" max="3" width="40.7109375" style="2" customWidth="1"/>
    <col min="4" max="4" width="29.7109375" style="1" bestFit="1" customWidth="1"/>
    <col min="5" max="5" width="15.7109375" style="2" customWidth="1"/>
    <col min="6" max="6" width="17" style="2" bestFit="1" customWidth="1"/>
    <col min="7" max="7" width="19.7109375" style="5" customWidth="1"/>
    <col min="8" max="8" width="4.140625" style="1" customWidth="1"/>
    <col min="9" max="9" width="14" style="1" bestFit="1" customWidth="1"/>
    <col min="10" max="10" width="15.7109375" style="4" customWidth="1"/>
    <col min="11" max="11" width="40.7109375" style="3" customWidth="1"/>
    <col min="12" max="12" width="29.7109375" style="1" bestFit="1" customWidth="1"/>
    <col min="13" max="13" width="15.7109375" style="1" customWidth="1"/>
    <col min="14" max="14" width="17" style="1" bestFit="1" customWidth="1"/>
    <col min="15" max="15" width="19.7109375" style="4" customWidth="1"/>
    <col min="16" max="16384" width="9.140625" style="1"/>
  </cols>
  <sheetData>
    <row r="1" spans="1:15" s="7" customFormat="1" ht="50.1" customHeight="1" x14ac:dyDescent="0.25">
      <c r="A1" s="61" t="s">
        <v>2104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3"/>
    </row>
    <row r="2" spans="1:15" s="7" customFormat="1" ht="39.950000000000003" customHeight="1" x14ac:dyDescent="0.25">
      <c r="A2" s="74" t="s">
        <v>2088</v>
      </c>
      <c r="B2" s="75"/>
      <c r="C2" s="79"/>
      <c r="D2" s="80"/>
      <c r="E2" s="81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60" customHeight="1" x14ac:dyDescent="0.4">
      <c r="A3" s="56" t="s">
        <v>18</v>
      </c>
      <c r="B3" s="57"/>
      <c r="C3" s="58" t="s">
        <v>2106</v>
      </c>
      <c r="D3" s="59"/>
      <c r="E3" s="60"/>
      <c r="F3" s="25"/>
      <c r="G3" s="78" t="s">
        <v>2105</v>
      </c>
      <c r="H3" s="78"/>
      <c r="I3" s="78"/>
      <c r="J3" s="78"/>
      <c r="K3" s="78"/>
      <c r="L3" s="78"/>
      <c r="M3" s="78"/>
      <c r="N3" s="78"/>
      <c r="O3" s="78"/>
    </row>
    <row r="4" spans="1:15" ht="52.5" customHeight="1" x14ac:dyDescent="0.25">
      <c r="A4" s="74" t="s">
        <v>2085</v>
      </c>
      <c r="B4" s="75"/>
      <c r="C4" s="82" t="s">
        <v>2130</v>
      </c>
      <c r="D4" s="83"/>
      <c r="E4" s="84"/>
      <c r="F4" s="9"/>
      <c r="G4" s="78"/>
      <c r="H4" s="78"/>
      <c r="I4" s="78"/>
      <c r="J4" s="78"/>
      <c r="K4" s="78"/>
      <c r="L4" s="78"/>
      <c r="M4" s="78"/>
      <c r="N4" s="78"/>
      <c r="O4" s="78"/>
    </row>
    <row r="5" spans="1:15" ht="39.950000000000003" customHeight="1" x14ac:dyDescent="0.25">
      <c r="A5" s="90" t="s">
        <v>0</v>
      </c>
      <c r="B5" s="91"/>
      <c r="C5" s="82"/>
      <c r="D5" s="83"/>
      <c r="E5" s="84"/>
      <c r="F5" s="9"/>
      <c r="G5" s="26"/>
      <c r="H5" s="26"/>
      <c r="I5" s="26"/>
      <c r="J5" s="26"/>
      <c r="K5" s="26"/>
      <c r="L5" s="26"/>
      <c r="M5" s="26"/>
      <c r="N5" s="26"/>
      <c r="O5" s="26"/>
    </row>
    <row r="6" spans="1:15" ht="24.95" customHeight="1" x14ac:dyDescent="0.25">
      <c r="A6" s="28"/>
      <c r="B6" s="30"/>
      <c r="C6" s="9"/>
      <c r="D6" s="28"/>
      <c r="E6" s="9"/>
      <c r="F6" s="9"/>
      <c r="G6" s="27"/>
      <c r="H6" s="28"/>
      <c r="I6" s="28"/>
      <c r="J6" s="29"/>
      <c r="K6" s="30"/>
      <c r="L6" s="28"/>
      <c r="M6" s="28"/>
      <c r="N6" s="28"/>
      <c r="O6" s="29"/>
    </row>
    <row r="7" spans="1:15" ht="24.95" customHeight="1" x14ac:dyDescent="0.25">
      <c r="A7" s="28"/>
      <c r="B7" s="30"/>
      <c r="C7" s="9"/>
      <c r="D7" s="28"/>
      <c r="E7" s="9"/>
      <c r="F7" s="9"/>
      <c r="G7" s="31"/>
      <c r="H7" s="28"/>
      <c r="I7" s="28"/>
      <c r="J7" s="29"/>
      <c r="K7" s="30"/>
      <c r="L7" s="28"/>
      <c r="M7" s="28"/>
      <c r="N7" s="28"/>
      <c r="O7" s="29"/>
    </row>
    <row r="8" spans="1:15" ht="24.95" customHeight="1" x14ac:dyDescent="0.4">
      <c r="A8" s="92" t="s">
        <v>4</v>
      </c>
      <c r="B8" s="93"/>
      <c r="C8" s="94"/>
      <c r="D8" s="98" t="s">
        <v>6</v>
      </c>
      <c r="E8" s="99"/>
      <c r="F8" s="102" t="s">
        <v>2087</v>
      </c>
      <c r="G8" s="104">
        <f>IF(G11="","",IFERROR(SUM(E13:E100),""))</f>
        <v>0.74999999999999978</v>
      </c>
      <c r="H8" s="32"/>
      <c r="I8" s="92" t="s">
        <v>17</v>
      </c>
      <c r="J8" s="93"/>
      <c r="K8" s="94"/>
      <c r="L8" s="98" t="s">
        <v>6</v>
      </c>
      <c r="M8" s="99"/>
      <c r="N8" s="102" t="s">
        <v>2087</v>
      </c>
      <c r="O8" s="104">
        <f>IF(O11="","",IFERROR(SUM(M13:M100),""))</f>
        <v>0.72916666666666663</v>
      </c>
    </row>
    <row r="9" spans="1:15" ht="37.5" customHeight="1" x14ac:dyDescent="0.4">
      <c r="A9" s="95"/>
      <c r="B9" s="96"/>
      <c r="C9" s="97"/>
      <c r="D9" s="100"/>
      <c r="E9" s="101"/>
      <c r="F9" s="103"/>
      <c r="G9" s="105"/>
      <c r="H9" s="32"/>
      <c r="I9" s="95"/>
      <c r="J9" s="96"/>
      <c r="K9" s="97"/>
      <c r="L9" s="100"/>
      <c r="M9" s="101"/>
      <c r="N9" s="103"/>
      <c r="O9" s="105"/>
    </row>
    <row r="10" spans="1:15" s="8" customFormat="1" ht="51.75" customHeight="1" x14ac:dyDescent="0.35">
      <c r="A10" s="33" t="s">
        <v>1699</v>
      </c>
      <c r="B10" s="33" t="s">
        <v>2</v>
      </c>
      <c r="C10" s="34" t="s">
        <v>1</v>
      </c>
      <c r="D10" s="52" t="s">
        <v>3</v>
      </c>
      <c r="E10" s="53"/>
      <c r="F10" s="68" t="s">
        <v>5</v>
      </c>
      <c r="G10" s="69"/>
      <c r="H10" s="44"/>
      <c r="I10" s="35" t="s">
        <v>1699</v>
      </c>
      <c r="J10" s="35" t="s">
        <v>2</v>
      </c>
      <c r="K10" s="36" t="s">
        <v>1</v>
      </c>
      <c r="L10" s="72" t="s">
        <v>3</v>
      </c>
      <c r="M10" s="73"/>
      <c r="N10" s="66" t="s">
        <v>5</v>
      </c>
      <c r="O10" s="67"/>
    </row>
    <row r="11" spans="1:15" ht="24.95" customHeight="1" x14ac:dyDescent="0.35">
      <c r="A11" s="51">
        <f>IF(C11="","",ROW()-10)</f>
        <v>1</v>
      </c>
      <c r="B11" s="54" t="str">
        <f>IFERROR(IF(C11="","",VLOOKUP(C11,'DURAK İSİMLERİ'!$C:$D,2,0)),"")</f>
        <v>HT1</v>
      </c>
      <c r="C11" s="70" t="s">
        <v>2129</v>
      </c>
      <c r="D11" s="45" t="s">
        <v>2096</v>
      </c>
      <c r="E11" s="46"/>
      <c r="F11" s="47"/>
      <c r="G11" s="64">
        <v>0.58333333333333337</v>
      </c>
      <c r="H11" s="44"/>
      <c r="I11" s="76">
        <f>IF(K11="","",ROW()-10)</f>
        <v>1</v>
      </c>
      <c r="J11" s="54" t="str">
        <f>IFERROR(IF(K11="","",VLOOKUP(K11,'DURAK İSİMLERİ'!$C:$D,2,0)),"")</f>
        <v>FH1</v>
      </c>
      <c r="K11" s="70" t="s">
        <v>2107</v>
      </c>
      <c r="L11" s="45" t="s">
        <v>2096</v>
      </c>
      <c r="M11" s="46"/>
      <c r="N11" s="47"/>
      <c r="O11" s="64">
        <v>0.64583333333333337</v>
      </c>
    </row>
    <row r="12" spans="1:15" ht="24.95" customHeight="1" x14ac:dyDescent="0.35">
      <c r="A12" s="51"/>
      <c r="B12" s="55"/>
      <c r="C12" s="70"/>
      <c r="D12" s="48"/>
      <c r="E12" s="49"/>
      <c r="F12" s="50"/>
      <c r="G12" s="71"/>
      <c r="H12" s="44"/>
      <c r="I12" s="77"/>
      <c r="J12" s="55"/>
      <c r="K12" s="70"/>
      <c r="L12" s="48"/>
      <c r="M12" s="49"/>
      <c r="N12" s="50"/>
      <c r="O12" s="65"/>
    </row>
    <row r="13" spans="1:15" ht="24.95" customHeight="1" x14ac:dyDescent="0.35">
      <c r="A13" s="51">
        <f>IF(C13="","",A11+1)</f>
        <v>2</v>
      </c>
      <c r="B13" s="54" t="str">
        <f>IFERROR(IF(C13="","",VLOOKUP(C13,'DURAK İSİMLERİ'!$C:$D,2,0)),"")</f>
        <v>QH1</v>
      </c>
      <c r="C13" s="70" t="s">
        <v>2108</v>
      </c>
      <c r="D13" s="37" t="s">
        <v>2097</v>
      </c>
      <c r="E13" s="12">
        <v>2.0833333333333332E-2</v>
      </c>
      <c r="F13" s="39" t="s">
        <v>2099</v>
      </c>
      <c r="G13" s="40">
        <f>IFERROR(IF(E13="","",SUM($G$11,$E$13:$E13)),"")</f>
        <v>0.60416666666666674</v>
      </c>
      <c r="H13" s="44"/>
      <c r="I13" s="76">
        <f>IF(K13="","",I11+1)</f>
        <v>2</v>
      </c>
      <c r="J13" s="54" t="str">
        <f>IFERROR(IF(K13="","",VLOOKUP(K13,'DURAK İSİMLERİ'!$C:$D,2,0)),"")</f>
        <v>AT1</v>
      </c>
      <c r="K13" s="70" t="s">
        <v>2125</v>
      </c>
      <c r="L13" s="37" t="s">
        <v>2097</v>
      </c>
      <c r="M13" s="12">
        <v>0.125</v>
      </c>
      <c r="N13" s="39" t="s">
        <v>2099</v>
      </c>
      <c r="O13" s="40">
        <f>IFERROR(IF(M13="","",SUM($O$11,$M$13:$M13)),"")</f>
        <v>0.77083333333333337</v>
      </c>
    </row>
    <row r="14" spans="1:15" ht="24.95" customHeight="1" x14ac:dyDescent="0.35">
      <c r="A14" s="51"/>
      <c r="B14" s="55"/>
      <c r="C14" s="70"/>
      <c r="D14" s="38" t="s">
        <v>2098</v>
      </c>
      <c r="E14" s="13">
        <v>0</v>
      </c>
      <c r="F14" s="41" t="s">
        <v>2100</v>
      </c>
      <c r="G14" s="42">
        <f>IFERROR(IF(E14="","",SUM($G$11,$E$13:$E14)),"")</f>
        <v>0.60416666666666674</v>
      </c>
      <c r="H14" s="44"/>
      <c r="I14" s="77"/>
      <c r="J14" s="55"/>
      <c r="K14" s="70"/>
      <c r="L14" s="38" t="s">
        <v>2098</v>
      </c>
      <c r="M14" s="13">
        <v>2.0833333333333332E-2</v>
      </c>
      <c r="N14" s="41" t="s">
        <v>2100</v>
      </c>
      <c r="O14" s="42">
        <f>IFERROR(IF(M14="","",SUM($O$11,$M$13:$M14)),"")</f>
        <v>0.79166666666666674</v>
      </c>
    </row>
    <row r="15" spans="1:15" ht="24.95" customHeight="1" x14ac:dyDescent="0.35">
      <c r="A15" s="51">
        <f t="shared" ref="A15" si="0">IF(C15="","",A13+1)</f>
        <v>3</v>
      </c>
      <c r="B15" s="54" t="str">
        <f>IFERROR(IF(C15="","",VLOOKUP(C15,'DURAK İSİMLERİ'!$C:$D,2,0)),"")</f>
        <v/>
      </c>
      <c r="C15" s="70" t="s">
        <v>2109</v>
      </c>
      <c r="D15" s="37" t="s">
        <v>2097</v>
      </c>
      <c r="E15" s="12">
        <v>3.8194444444444441E-2</v>
      </c>
      <c r="F15" s="39" t="s">
        <v>2099</v>
      </c>
      <c r="G15" s="43">
        <f>IFERROR(IF(E15="","",SUM($G$11,$E$13:$E15)),"")</f>
        <v>0.64236111111111116</v>
      </c>
      <c r="H15" s="44"/>
      <c r="I15" s="76">
        <f t="shared" ref="I15" si="1">IF(K15="","",I13+1)</f>
        <v>3</v>
      </c>
      <c r="J15" s="54" t="str">
        <f>IFERROR(IF(K15="","",VLOOKUP(K15,'DURAK İSİMLERİ'!$C:$D,2,0)),"")</f>
        <v>SR1</v>
      </c>
      <c r="K15" s="70" t="s">
        <v>2124</v>
      </c>
      <c r="L15" s="37" t="s">
        <v>2097</v>
      </c>
      <c r="M15" s="12">
        <v>2.7777777777777776E-2</v>
      </c>
      <c r="N15" s="39" t="s">
        <v>2099</v>
      </c>
      <c r="O15" s="40">
        <f>IFERROR(IF(M15="","",SUM($O$11,$M$13:$M15)),"")</f>
        <v>0.81944444444444453</v>
      </c>
    </row>
    <row r="16" spans="1:15" ht="24.95" customHeight="1" x14ac:dyDescent="0.35">
      <c r="A16" s="51"/>
      <c r="B16" s="55"/>
      <c r="C16" s="70"/>
      <c r="D16" s="38" t="s">
        <v>2098</v>
      </c>
      <c r="E16" s="13">
        <v>3.472222222222222E-3</v>
      </c>
      <c r="F16" s="41" t="s">
        <v>2100</v>
      </c>
      <c r="G16" s="43">
        <f>IFERROR(IF(E16="","",SUM($G$11,$E$13:$E16)),"")</f>
        <v>0.64583333333333337</v>
      </c>
      <c r="H16" s="44"/>
      <c r="I16" s="77"/>
      <c r="J16" s="55"/>
      <c r="K16" s="70"/>
      <c r="L16" s="38" t="s">
        <v>2098</v>
      </c>
      <c r="M16" s="13">
        <v>3.472222222222222E-3</v>
      </c>
      <c r="N16" s="41" t="s">
        <v>2100</v>
      </c>
      <c r="O16" s="42">
        <f>IFERROR(IF(M16="","",SUM($O$11,$M$13:$M16)),"")</f>
        <v>0.82291666666666674</v>
      </c>
    </row>
    <row r="17" spans="1:15" ht="24.95" customHeight="1" x14ac:dyDescent="0.35">
      <c r="A17" s="51">
        <f t="shared" ref="A17" si="2">IF(C17="","",A15+1)</f>
        <v>4</v>
      </c>
      <c r="B17" s="54" t="str">
        <f>IFERROR(IF(C17="","",VLOOKUP(C17,'DURAK İSİMLERİ'!$C:$D,2,0)),"")</f>
        <v>PY1</v>
      </c>
      <c r="C17" s="89" t="s">
        <v>2110</v>
      </c>
      <c r="D17" s="37" t="s">
        <v>2097</v>
      </c>
      <c r="E17" s="12">
        <v>2.0833333333333332E-2</v>
      </c>
      <c r="F17" s="39" t="s">
        <v>2099</v>
      </c>
      <c r="G17" s="40">
        <f>IFERROR(IF(E17="","",SUM($G$11,$E$13:$E17)),"")</f>
        <v>0.66666666666666674</v>
      </c>
      <c r="H17" s="44"/>
      <c r="I17" s="76">
        <f t="shared" ref="I17" si="3">IF(K17="","",I15+1)</f>
        <v>4</v>
      </c>
      <c r="J17" s="54" t="str">
        <f>IFERROR(IF(K17="","",VLOOKUP(K17,'DURAK İSİMLERİ'!$C:$D,2,0)),"")</f>
        <v>MN1</v>
      </c>
      <c r="K17" s="89" t="s">
        <v>2123</v>
      </c>
      <c r="L17" s="37" t="s">
        <v>2097</v>
      </c>
      <c r="M17" s="12">
        <v>2.7777777777777776E-2</v>
      </c>
      <c r="N17" s="39" t="s">
        <v>2099</v>
      </c>
      <c r="O17" s="40">
        <f>IFERROR(IF(M17="","",SUM($O$11,$M$13:$M17)),"")</f>
        <v>0.85069444444444453</v>
      </c>
    </row>
    <row r="18" spans="1:15" ht="24.95" customHeight="1" x14ac:dyDescent="0.35">
      <c r="A18" s="51"/>
      <c r="B18" s="55"/>
      <c r="C18" s="89"/>
      <c r="D18" s="38" t="s">
        <v>2098</v>
      </c>
      <c r="E18" s="13">
        <v>0</v>
      </c>
      <c r="F18" s="41" t="s">
        <v>2100</v>
      </c>
      <c r="G18" s="42">
        <f>IFERROR(IF(E18="","",SUM($G$11,$E$13:$E18)),"")</f>
        <v>0.66666666666666674</v>
      </c>
      <c r="H18" s="44"/>
      <c r="I18" s="77"/>
      <c r="J18" s="55"/>
      <c r="K18" s="89"/>
      <c r="L18" s="38" t="s">
        <v>2098</v>
      </c>
      <c r="M18" s="13">
        <v>3.472222222222222E-3</v>
      </c>
      <c r="N18" s="41" t="s">
        <v>2100</v>
      </c>
      <c r="O18" s="42">
        <f>IFERROR(IF(M18="","",SUM($O$11,$M$13:$M18)),"")</f>
        <v>0.85416666666666674</v>
      </c>
    </row>
    <row r="19" spans="1:15" ht="24.95" customHeight="1" x14ac:dyDescent="0.35">
      <c r="A19" s="51">
        <f t="shared" ref="A19" si="4">IF(C19="","",A17+1)</f>
        <v>5</v>
      </c>
      <c r="B19" s="54" t="str">
        <f>IFERROR(IF(C19="","",VLOOKUP(C19,'DURAK İSİMLERİ'!$C:$D,2,0)),"")</f>
        <v>DT1</v>
      </c>
      <c r="C19" s="89" t="s">
        <v>2111</v>
      </c>
      <c r="D19" s="37" t="s">
        <v>2097</v>
      </c>
      <c r="E19" s="12">
        <v>1.0416666666666666E-2</v>
      </c>
      <c r="F19" s="39" t="s">
        <v>2099</v>
      </c>
      <c r="G19" s="40">
        <f>IFERROR(IF(E19="","",SUM($G$11,$E$13:$E19)),"")</f>
        <v>0.67708333333333337</v>
      </c>
      <c r="H19" s="44"/>
      <c r="I19" s="76">
        <f t="shared" ref="I19" si="5">IF(K19="","",I17+1)</f>
        <v>5</v>
      </c>
      <c r="J19" s="54" t="str">
        <f>IFERROR(IF(K19="","",VLOOKUP(K19,'DURAK İSİMLERİ'!$C:$D,2,0)),"")</f>
        <v>AL1</v>
      </c>
      <c r="K19" s="70" t="s">
        <v>2122</v>
      </c>
      <c r="L19" s="37" t="s">
        <v>2097</v>
      </c>
      <c r="M19" s="12">
        <v>3.8194444444444441E-2</v>
      </c>
      <c r="N19" s="39" t="s">
        <v>2099</v>
      </c>
      <c r="O19" s="40">
        <f>IFERROR(IF(M19="","",SUM($O$11,$M$13:$M19)),"")</f>
        <v>0.89236111111111116</v>
      </c>
    </row>
    <row r="20" spans="1:15" ht="24.95" customHeight="1" x14ac:dyDescent="0.35">
      <c r="A20" s="51"/>
      <c r="B20" s="55"/>
      <c r="C20" s="89"/>
      <c r="D20" s="38" t="s">
        <v>2098</v>
      </c>
      <c r="E20" s="13">
        <v>0</v>
      </c>
      <c r="F20" s="41" t="s">
        <v>2100</v>
      </c>
      <c r="G20" s="42">
        <f>IFERROR(IF(E20="","",SUM($G$11,$E$13:$E20)),"")</f>
        <v>0.67708333333333337</v>
      </c>
      <c r="H20" s="44"/>
      <c r="I20" s="77"/>
      <c r="J20" s="55"/>
      <c r="K20" s="70"/>
      <c r="L20" s="38" t="s">
        <v>2098</v>
      </c>
      <c r="M20" s="13">
        <v>3.472222222222222E-3</v>
      </c>
      <c r="N20" s="41" t="s">
        <v>2100</v>
      </c>
      <c r="O20" s="42">
        <f>IFERROR(IF(M20="","",SUM($O$11,$M$13:$M20)),"")</f>
        <v>0.89583333333333337</v>
      </c>
    </row>
    <row r="21" spans="1:15" ht="24.95" customHeight="1" x14ac:dyDescent="0.35">
      <c r="A21" s="51">
        <f t="shared" ref="A21" si="6">IF(C21="","",A19+1)</f>
        <v>6</v>
      </c>
      <c r="B21" s="54" t="str">
        <f>IFERROR(IF(C21="","",VLOOKUP(C21,'DURAK İSİMLERİ'!$C:$D,2,0)),"")</f>
        <v>CY1</v>
      </c>
      <c r="C21" s="70" t="s">
        <v>2112</v>
      </c>
      <c r="D21" s="37" t="s">
        <v>2097</v>
      </c>
      <c r="E21" s="12">
        <v>2.7777777777777776E-2</v>
      </c>
      <c r="F21" s="39" t="s">
        <v>2099</v>
      </c>
      <c r="G21" s="40">
        <f>IFERROR(IF(E21="","",SUM($G$11,$E$13:$E21)),"")</f>
        <v>0.70486111111111116</v>
      </c>
      <c r="H21" s="44"/>
      <c r="I21" s="76">
        <f t="shared" ref="I21" si="7">IF(K21="","",I19+1)</f>
        <v>6</v>
      </c>
      <c r="J21" s="54" t="str">
        <f>IFERROR(IF(K21="","",VLOOKUP(K21,'DURAK İSİMLERİ'!$C:$D,2,0)),"")</f>
        <v/>
      </c>
      <c r="K21" s="70" t="s">
        <v>2126</v>
      </c>
      <c r="L21" s="37" t="s">
        <v>2097</v>
      </c>
      <c r="M21" s="12">
        <v>3.8194444444444441E-2</v>
      </c>
      <c r="N21" s="39" t="s">
        <v>2099</v>
      </c>
      <c r="O21" s="40">
        <f>IFERROR(IF(M21="","",SUM($O$11,$M$13:$M21)),"")</f>
        <v>0.93402777777777779</v>
      </c>
    </row>
    <row r="22" spans="1:15" ht="24.95" customHeight="1" x14ac:dyDescent="0.35">
      <c r="A22" s="51"/>
      <c r="B22" s="55"/>
      <c r="C22" s="70"/>
      <c r="D22" s="38" t="s">
        <v>2098</v>
      </c>
      <c r="E22" s="13">
        <v>3.472222222222222E-3</v>
      </c>
      <c r="F22" s="41" t="s">
        <v>2100</v>
      </c>
      <c r="G22" s="42">
        <f>IFERROR(IF(E22="","",SUM($G$11,$E$13:$E22)),"")</f>
        <v>0.70833333333333337</v>
      </c>
      <c r="H22" s="44"/>
      <c r="I22" s="77"/>
      <c r="J22" s="55"/>
      <c r="K22" s="70"/>
      <c r="L22" s="38" t="s">
        <v>2098</v>
      </c>
      <c r="M22" s="13">
        <v>3.472222222222222E-3</v>
      </c>
      <c r="N22" s="41" t="s">
        <v>2100</v>
      </c>
      <c r="O22" s="42">
        <f>IFERROR(IF(M22="","",SUM($O$11,$M$13:$M22)),"")</f>
        <v>0.9375</v>
      </c>
    </row>
    <row r="23" spans="1:15" ht="24.95" customHeight="1" x14ac:dyDescent="0.35">
      <c r="A23" s="51">
        <f t="shared" ref="A23" si="8">IF(C23="","",A21+1)</f>
        <v>7</v>
      </c>
      <c r="B23" s="54" t="str">
        <f>IFERROR(IF(C23="","",VLOOKUP(C23,'DURAK İSİMLERİ'!$C:$D,2,0)),"")</f>
        <v>AD1</v>
      </c>
      <c r="C23" s="70" t="s">
        <v>2113</v>
      </c>
      <c r="D23" s="37" t="s">
        <v>2097</v>
      </c>
      <c r="E23" s="12">
        <v>3.8194444444444441E-2</v>
      </c>
      <c r="F23" s="39" t="s">
        <v>2099</v>
      </c>
      <c r="G23" s="40">
        <f>IFERROR(IF(E23="","",SUM($G$11,$E$13:$E23)),"")</f>
        <v>0.74652777777777779</v>
      </c>
      <c r="H23" s="44"/>
      <c r="I23" s="76">
        <f t="shared" ref="I23" si="9">IF(K23="","",I21+1)</f>
        <v>7</v>
      </c>
      <c r="J23" s="54" t="str">
        <f>IFERROR(IF(K23="","",VLOOKUP(K23,'DURAK İSİMLERİ'!$C:$D,2,0)),"")</f>
        <v/>
      </c>
      <c r="K23" s="70" t="s">
        <v>2127</v>
      </c>
      <c r="L23" s="37" t="s">
        <v>2097</v>
      </c>
      <c r="M23" s="12">
        <v>3.472222222222222E-3</v>
      </c>
      <c r="N23" s="39" t="s">
        <v>2099</v>
      </c>
      <c r="O23" s="40">
        <f>IFERROR(IF(M23="","",SUM($O$11,$M$13:$M23)),"")</f>
        <v>0.94097222222222221</v>
      </c>
    </row>
    <row r="24" spans="1:15" ht="24.95" customHeight="1" x14ac:dyDescent="0.35">
      <c r="A24" s="51"/>
      <c r="B24" s="55"/>
      <c r="C24" s="70"/>
      <c r="D24" s="38" t="s">
        <v>2098</v>
      </c>
      <c r="E24" s="13">
        <v>3.472222222222222E-3</v>
      </c>
      <c r="F24" s="41" t="s">
        <v>2100</v>
      </c>
      <c r="G24" s="42">
        <f>IFERROR(IF(E24="","",SUM($G$11,$E$13:$E24)),"")</f>
        <v>0.75</v>
      </c>
      <c r="H24" s="44"/>
      <c r="I24" s="77"/>
      <c r="J24" s="55"/>
      <c r="K24" s="70"/>
      <c r="L24" s="38" t="s">
        <v>2098</v>
      </c>
      <c r="M24" s="13">
        <v>2.0833333333333332E-2</v>
      </c>
      <c r="N24" s="41" t="s">
        <v>2100</v>
      </c>
      <c r="O24" s="42">
        <f>IFERROR(IF(M24="","",SUM($O$11,$M$13:$M24)),"")</f>
        <v>0.96180555555555558</v>
      </c>
    </row>
    <row r="25" spans="1:15" ht="24.95" customHeight="1" x14ac:dyDescent="0.35">
      <c r="A25" s="51">
        <f t="shared" ref="A25" si="10">IF(C25="","",A23+1)</f>
        <v>8</v>
      </c>
      <c r="B25" s="54" t="str">
        <f>IFERROR(IF(C25="","",VLOOKUP(C25,'DURAK İSİMLERİ'!$C:$D,2,0)),"")</f>
        <v>TS1</v>
      </c>
      <c r="C25" s="70" t="s">
        <v>2114</v>
      </c>
      <c r="D25" s="37" t="s">
        <v>2097</v>
      </c>
      <c r="E25" s="12">
        <v>3.125E-2</v>
      </c>
      <c r="F25" s="39" t="s">
        <v>2099</v>
      </c>
      <c r="G25" s="40">
        <f>IFERROR(IF(E25="","",SUM($G$11,$E$13:$E25)),"")</f>
        <v>0.78125</v>
      </c>
      <c r="H25" s="44"/>
      <c r="I25" s="76">
        <f t="shared" ref="I25" si="11">IF(K25="","",I23+1)</f>
        <v>8</v>
      </c>
      <c r="J25" s="54" t="str">
        <f>IFERROR(IF(K25="","",VLOOKUP(K25,'DURAK İSİMLERİ'!$C:$D,2,0)),"")</f>
        <v>DB1</v>
      </c>
      <c r="K25" s="89" t="s">
        <v>2119</v>
      </c>
      <c r="L25" s="37" t="s">
        <v>2097</v>
      </c>
      <c r="M25" s="12">
        <v>3.7499999999999999E-2</v>
      </c>
      <c r="N25" s="39" t="s">
        <v>2099</v>
      </c>
      <c r="O25" s="40">
        <f>IFERROR(IF(M25="","",SUM($O$11,$M$13:$M25)),"")</f>
        <v>0.99930555555555556</v>
      </c>
    </row>
    <row r="26" spans="1:15" ht="24.95" customHeight="1" x14ac:dyDescent="0.35">
      <c r="A26" s="51"/>
      <c r="B26" s="55"/>
      <c r="C26" s="70"/>
      <c r="D26" s="38" t="s">
        <v>2098</v>
      </c>
      <c r="E26" s="13">
        <v>0</v>
      </c>
      <c r="F26" s="41" t="s">
        <v>2100</v>
      </c>
      <c r="G26" s="42">
        <f>IFERROR(IF(E26="","",SUM($G$11,$E$13:$E26)),"")</f>
        <v>0.78125</v>
      </c>
      <c r="H26" s="44"/>
      <c r="I26" s="77"/>
      <c r="J26" s="55"/>
      <c r="K26" s="89"/>
      <c r="L26" s="38" t="s">
        <v>2098</v>
      </c>
      <c r="M26" s="13">
        <v>0</v>
      </c>
      <c r="N26" s="41" t="s">
        <v>2100</v>
      </c>
      <c r="O26" s="42">
        <f>IFERROR(IF(M26="","",SUM($O$11,$M$13:$M26)),"")</f>
        <v>0.99930555555555556</v>
      </c>
    </row>
    <row r="27" spans="1:15" ht="24.95" customHeight="1" x14ac:dyDescent="0.35">
      <c r="A27" s="51">
        <f t="shared" ref="A27" si="12">IF(C27="","",A25+1)</f>
        <v>9</v>
      </c>
      <c r="B27" s="54" t="str">
        <f>IFERROR(IF(C27="","",VLOOKUP(C27,'DURAK İSİMLERİ'!$C:$D,2,0)),"")</f>
        <v>ME1</v>
      </c>
      <c r="C27" s="85" t="s">
        <v>2115</v>
      </c>
      <c r="D27" s="37" t="s">
        <v>2097</v>
      </c>
      <c r="E27" s="12">
        <v>2.7777777777777776E-2</v>
      </c>
      <c r="F27" s="39" t="s">
        <v>2099</v>
      </c>
      <c r="G27" s="40">
        <f>IFERROR(IF(E27="","",SUM($G$11,$E$13:$E27)),"")</f>
        <v>0.80902777777777779</v>
      </c>
      <c r="H27" s="44"/>
      <c r="I27" s="76">
        <f t="shared" ref="I27" si="13">IF(K27="","",I25+1)</f>
        <v>9</v>
      </c>
      <c r="J27" s="54" t="str">
        <f>IFERROR(IF(K27="","",VLOOKUP(K27,'DURAK İSİMLERİ'!$C:$D,2,0)),"")</f>
        <v/>
      </c>
      <c r="K27" s="85" t="s">
        <v>2128</v>
      </c>
      <c r="L27" s="37" t="s">
        <v>2097</v>
      </c>
      <c r="M27" s="12">
        <v>7.3611111111111113E-2</v>
      </c>
      <c r="N27" s="39" t="s">
        <v>2099</v>
      </c>
      <c r="O27" s="40">
        <f>IFERROR(IF(M27="","",SUM($O$11,$M$13:$M27)),"")</f>
        <v>1.0729166666666667</v>
      </c>
    </row>
    <row r="28" spans="1:15" ht="24.95" customHeight="1" x14ac:dyDescent="0.35">
      <c r="A28" s="51"/>
      <c r="B28" s="55"/>
      <c r="C28" s="86"/>
      <c r="D28" s="38" t="s">
        <v>2098</v>
      </c>
      <c r="E28" s="13">
        <v>3.472222222222222E-3</v>
      </c>
      <c r="F28" s="41" t="s">
        <v>2100</v>
      </c>
      <c r="G28" s="42">
        <f>IFERROR(IF(E28="","",SUM($G$11,$E$13:$E28)),"")</f>
        <v>0.8125</v>
      </c>
      <c r="H28" s="44"/>
      <c r="I28" s="77"/>
      <c r="J28" s="55"/>
      <c r="K28" s="86"/>
      <c r="L28" s="38" t="s">
        <v>2098</v>
      </c>
      <c r="M28" s="13">
        <v>2.0833333333333332E-2</v>
      </c>
      <c r="N28" s="41" t="s">
        <v>2100</v>
      </c>
      <c r="O28" s="42">
        <f>IFERROR(IF(M28="","",SUM($O$11,$M$13:$M28)),"")</f>
        <v>1.09375</v>
      </c>
    </row>
    <row r="29" spans="1:15" ht="24.95" customHeight="1" x14ac:dyDescent="0.35">
      <c r="A29" s="51">
        <f t="shared" ref="A29" si="14">IF(C29="","",A27+1)</f>
        <v>10</v>
      </c>
      <c r="B29" s="54" t="str">
        <f>IFERROR(IF(C29="","",VLOOKUP(C29,'DURAK İSİMLERİ'!$C:$D,2,0)),"")</f>
        <v>EM1</v>
      </c>
      <c r="C29" s="87" t="s">
        <v>2116</v>
      </c>
      <c r="D29" s="37" t="s">
        <v>2097</v>
      </c>
      <c r="E29" s="12">
        <v>2.0833333333333332E-2</v>
      </c>
      <c r="F29" s="39" t="s">
        <v>2099</v>
      </c>
      <c r="G29" s="40">
        <f>IFERROR(IF(E29="","",SUM($G$11,$E$13:$E29)),"")</f>
        <v>0.83333333333333337</v>
      </c>
      <c r="H29" s="44"/>
      <c r="I29" s="76">
        <f t="shared" ref="I29" si="15">IF(K29="","",I27+1)</f>
        <v>10</v>
      </c>
      <c r="J29" s="54" t="str">
        <f>IFERROR(IF(K29="","",VLOOKUP(K29,'DURAK İSİMLERİ'!$C:$D,2,0)),"")</f>
        <v>FE1</v>
      </c>
      <c r="K29" s="85" t="s">
        <v>2117</v>
      </c>
      <c r="L29" s="37" t="s">
        <v>2097</v>
      </c>
      <c r="M29" s="12">
        <v>2.0833333333333332E-2</v>
      </c>
      <c r="N29" s="39" t="s">
        <v>2099</v>
      </c>
      <c r="O29" s="40">
        <f>IFERROR(IF(M29="","",SUM($O$11,$M$13:$M29)),"")</f>
        <v>1.1145833333333333</v>
      </c>
    </row>
    <row r="30" spans="1:15" ht="24.95" customHeight="1" x14ac:dyDescent="0.35">
      <c r="A30" s="51"/>
      <c r="B30" s="55"/>
      <c r="C30" s="88"/>
      <c r="D30" s="38" t="s">
        <v>2098</v>
      </c>
      <c r="E30" s="13">
        <v>0</v>
      </c>
      <c r="F30" s="41" t="s">
        <v>2100</v>
      </c>
      <c r="G30" s="42">
        <f>IFERROR(IF(E30="","",SUM($G$11,$E$13:$E30)),"")</f>
        <v>0.83333333333333337</v>
      </c>
      <c r="H30" s="44"/>
      <c r="I30" s="77"/>
      <c r="J30" s="55"/>
      <c r="K30" s="86"/>
      <c r="L30" s="38" t="s">
        <v>2098</v>
      </c>
      <c r="M30" s="13">
        <v>0</v>
      </c>
      <c r="N30" s="41" t="s">
        <v>2100</v>
      </c>
      <c r="O30" s="42">
        <f>IFERROR(IF(M30="","",SUM($O$11,$M$13:$M30)),"")</f>
        <v>1.1145833333333333</v>
      </c>
    </row>
    <row r="31" spans="1:15" ht="24.95" customHeight="1" x14ac:dyDescent="0.35">
      <c r="A31" s="51">
        <f>IF(C31="","",A29+1)</f>
        <v>11</v>
      </c>
      <c r="B31" s="54" t="str">
        <f>IFERROR(IF(C31="","",VLOOKUP(C31,'DURAK İSİMLERİ'!$C:$D,2,0)),"")</f>
        <v>FE1</v>
      </c>
      <c r="C31" s="85" t="s">
        <v>2117</v>
      </c>
      <c r="D31" s="37" t="s">
        <v>2097</v>
      </c>
      <c r="E31" s="12">
        <v>2.0833333333333332E-2</v>
      </c>
      <c r="F31" s="39" t="s">
        <v>2099</v>
      </c>
      <c r="G31" s="40">
        <f>IFERROR(IF(E31="","",SUM($G$11,$E$13:$E31)),"")</f>
        <v>0.85416666666666674</v>
      </c>
      <c r="H31" s="44"/>
      <c r="I31" s="76">
        <f>IF(K31="","",I29+1)</f>
        <v>11</v>
      </c>
      <c r="J31" s="54" t="str">
        <f>IFERROR(IF(K31="","",VLOOKUP(K31,'DURAK İSİMLERİ'!$C:$D,2,0)),"")</f>
        <v>EM1</v>
      </c>
      <c r="K31" s="85" t="s">
        <v>2116</v>
      </c>
      <c r="L31" s="37" t="s">
        <v>2097</v>
      </c>
      <c r="M31" s="12">
        <v>2.0833333333333332E-2</v>
      </c>
      <c r="N31" s="39" t="s">
        <v>2099</v>
      </c>
      <c r="O31" s="40">
        <f>IFERROR(IF(M31="","",SUM($O$11,$M$13:$M31)),"")</f>
        <v>1.1354166666666665</v>
      </c>
    </row>
    <row r="32" spans="1:15" ht="24.95" customHeight="1" x14ac:dyDescent="0.35">
      <c r="A32" s="51"/>
      <c r="B32" s="55"/>
      <c r="C32" s="86"/>
      <c r="D32" s="38" t="s">
        <v>2098</v>
      </c>
      <c r="E32" s="13">
        <v>0</v>
      </c>
      <c r="F32" s="41" t="s">
        <v>2100</v>
      </c>
      <c r="G32" s="42">
        <f>IFERROR(IF(E32="","",SUM($G$11,$E$13:$E32)),"")</f>
        <v>0.85416666666666674</v>
      </c>
      <c r="H32" s="44"/>
      <c r="I32" s="77"/>
      <c r="J32" s="55"/>
      <c r="K32" s="86"/>
      <c r="L32" s="38" t="s">
        <v>2098</v>
      </c>
      <c r="M32" s="13">
        <v>0</v>
      </c>
      <c r="N32" s="41" t="s">
        <v>2100</v>
      </c>
      <c r="O32" s="42">
        <f>IFERROR(IF(M32="","",SUM($O$11,$M$13:$M32)),"")</f>
        <v>1.1354166666666665</v>
      </c>
    </row>
    <row r="33" spans="1:15" ht="24.95" customHeight="1" x14ac:dyDescent="0.35">
      <c r="A33" s="51">
        <f t="shared" ref="A33" si="16">IF(C33="","",A31+1)</f>
        <v>12</v>
      </c>
      <c r="B33" s="54" t="str">
        <f>IFERROR(IF(C33="","",VLOOKUP(C33,'DURAK İSİMLERİ'!$C:$D,2,0)),"")</f>
        <v/>
      </c>
      <c r="C33" s="85" t="s">
        <v>2118</v>
      </c>
      <c r="D33" s="37" t="s">
        <v>2097</v>
      </c>
      <c r="E33" s="12">
        <v>6.25E-2</v>
      </c>
      <c r="F33" s="39" t="s">
        <v>2099</v>
      </c>
      <c r="G33" s="40">
        <f>IFERROR(IF(E33="","",SUM($G$11,$E$13:$E33)),"")</f>
        <v>0.91666666666666674</v>
      </c>
      <c r="H33" s="44"/>
      <c r="I33" s="76">
        <f t="shared" ref="I33" si="17">IF(K33="","",I31+1)</f>
        <v>12</v>
      </c>
      <c r="J33" s="54" t="str">
        <f>IFERROR(IF(K33="","",VLOOKUP(K33,'DURAK İSİMLERİ'!$C:$D,2,0)),"")</f>
        <v>ME1</v>
      </c>
      <c r="K33" s="85" t="s">
        <v>2115</v>
      </c>
      <c r="L33" s="37" t="s">
        <v>2097</v>
      </c>
      <c r="M33" s="12">
        <v>3.125E-2</v>
      </c>
      <c r="N33" s="39" t="s">
        <v>2099</v>
      </c>
      <c r="O33" s="40">
        <f>IFERROR(IF(M33="","",SUM($O$11,$M$13:$M33)),"")</f>
        <v>1.1666666666666665</v>
      </c>
    </row>
    <row r="34" spans="1:15" ht="24.95" customHeight="1" x14ac:dyDescent="0.35">
      <c r="A34" s="51"/>
      <c r="B34" s="55"/>
      <c r="C34" s="86"/>
      <c r="D34" s="38" t="s">
        <v>2098</v>
      </c>
      <c r="E34" s="13">
        <v>2.0833333333333332E-2</v>
      </c>
      <c r="F34" s="41" t="s">
        <v>2100</v>
      </c>
      <c r="G34" s="42">
        <f>IFERROR(IF(E34="","",SUM($G$11,$E$13:$E34)),"")</f>
        <v>0.93750000000000011</v>
      </c>
      <c r="H34" s="44"/>
      <c r="I34" s="77"/>
      <c r="J34" s="55"/>
      <c r="K34" s="86"/>
      <c r="L34" s="38" t="s">
        <v>2098</v>
      </c>
      <c r="M34" s="13">
        <v>0</v>
      </c>
      <c r="N34" s="41" t="s">
        <v>2100</v>
      </c>
      <c r="O34" s="42">
        <f>IFERROR(IF(M34="","",SUM($O$11,$M$13:$M34)),"")</f>
        <v>1.1666666666666665</v>
      </c>
    </row>
    <row r="35" spans="1:15" ht="24.95" customHeight="1" x14ac:dyDescent="0.35">
      <c r="A35" s="51">
        <f t="shared" ref="A35" si="18">IF(C35="","",A33+1)</f>
        <v>13</v>
      </c>
      <c r="B35" s="54" t="str">
        <f>IFERROR(IF(C35="","",VLOOKUP(C35,'DURAK İSİMLERİ'!$C:$D,2,0)),"")</f>
        <v>DB1</v>
      </c>
      <c r="C35" s="85" t="s">
        <v>2119</v>
      </c>
      <c r="D35" s="37" t="s">
        <v>2097</v>
      </c>
      <c r="E35" s="12">
        <v>6.25E-2</v>
      </c>
      <c r="F35" s="39" t="s">
        <v>2099</v>
      </c>
      <c r="G35" s="40">
        <f>IFERROR(IF(E35="","",SUM($G$11,$E$13:$E35)),"")</f>
        <v>1</v>
      </c>
      <c r="H35" s="44"/>
      <c r="I35" s="76">
        <f t="shared" ref="I35" si="19">IF(K35="","",I33+1)</f>
        <v>13</v>
      </c>
      <c r="J35" s="54" t="str">
        <f>IFERROR(IF(K35="","",VLOOKUP(K35,'DURAK İSİMLERİ'!$C:$D,2,0)),"")</f>
        <v>TS1</v>
      </c>
      <c r="K35" s="85" t="s">
        <v>2114</v>
      </c>
      <c r="L35" s="37" t="s">
        <v>2097</v>
      </c>
      <c r="M35" s="12">
        <v>2.0833333333333332E-2</v>
      </c>
      <c r="N35" s="39" t="s">
        <v>2099</v>
      </c>
      <c r="O35" s="40">
        <f>IFERROR(IF(M35="","",SUM($O$11,$M$13:$M35)),"")</f>
        <v>1.1874999999999998</v>
      </c>
    </row>
    <row r="36" spans="1:15" ht="24.95" customHeight="1" x14ac:dyDescent="0.35">
      <c r="A36" s="51"/>
      <c r="B36" s="55"/>
      <c r="C36" s="86"/>
      <c r="D36" s="38" t="s">
        <v>2098</v>
      </c>
      <c r="E36" s="13">
        <v>0</v>
      </c>
      <c r="F36" s="41" t="s">
        <v>2100</v>
      </c>
      <c r="G36" s="42">
        <f>IFERROR(IF(E36="","",SUM($G$11,$E$13:$E36)),"")</f>
        <v>1</v>
      </c>
      <c r="H36" s="44"/>
      <c r="I36" s="77"/>
      <c r="J36" s="55"/>
      <c r="K36" s="86"/>
      <c r="L36" s="38" t="s">
        <v>2098</v>
      </c>
      <c r="M36" s="13">
        <v>0</v>
      </c>
      <c r="N36" s="41" t="s">
        <v>2100</v>
      </c>
      <c r="O36" s="42">
        <f>IFERROR(IF(M36="","",SUM($O$11,$M$13:$M36)),"")</f>
        <v>1.1874999999999998</v>
      </c>
    </row>
    <row r="37" spans="1:15" ht="24.95" customHeight="1" x14ac:dyDescent="0.35">
      <c r="A37" s="51">
        <f t="shared" ref="A37" si="20">IF(C37="","",A35+1)</f>
        <v>14</v>
      </c>
      <c r="B37" s="54" t="str">
        <f>IFERROR(IF(C37="","",VLOOKUP(C37,'DURAK İSİMLERİ'!$C:$D,2,0)),"")</f>
        <v/>
      </c>
      <c r="C37" s="87" t="s">
        <v>2120</v>
      </c>
      <c r="D37" s="37" t="s">
        <v>2097</v>
      </c>
      <c r="E37" s="12">
        <v>4.1666666666666664E-2</v>
      </c>
      <c r="F37" s="39" t="s">
        <v>2099</v>
      </c>
      <c r="G37" s="40">
        <f>IFERROR(IF(E37="","",SUM($G$11,$E$13:$E37)),"")</f>
        <v>1.0416666666666667</v>
      </c>
      <c r="H37" s="44"/>
      <c r="I37" s="76">
        <f t="shared" ref="I37" si="21">IF(K37="","",I35+1)</f>
        <v>14</v>
      </c>
      <c r="J37" s="54" t="str">
        <f>IFERROR(IF(K37="","",VLOOKUP(K37,'DURAK İSİMLERİ'!$C:$D,2,0)),"")</f>
        <v>AD1</v>
      </c>
      <c r="K37" s="87" t="s">
        <v>2113</v>
      </c>
      <c r="L37" s="37" t="s">
        <v>2097</v>
      </c>
      <c r="M37" s="12">
        <v>3.125E-2</v>
      </c>
      <c r="N37" s="39" t="s">
        <v>2099</v>
      </c>
      <c r="O37" s="40">
        <f>IFERROR(IF(M37="","",SUM($O$11,$M$13:$M37)),"")</f>
        <v>1.2187499999999998</v>
      </c>
    </row>
    <row r="38" spans="1:15" ht="24.95" customHeight="1" x14ac:dyDescent="0.35">
      <c r="A38" s="51"/>
      <c r="B38" s="55"/>
      <c r="C38" s="88"/>
      <c r="D38" s="38" t="s">
        <v>2098</v>
      </c>
      <c r="E38" s="13">
        <v>2.0833333333333332E-2</v>
      </c>
      <c r="F38" s="41" t="s">
        <v>2100</v>
      </c>
      <c r="G38" s="42">
        <f>IFERROR(IF(E38="","",SUM($G$11,$E$13:$E38)),"")</f>
        <v>1.0625</v>
      </c>
      <c r="H38" s="44"/>
      <c r="I38" s="77"/>
      <c r="J38" s="55"/>
      <c r="K38" s="88"/>
      <c r="L38" s="38" t="s">
        <v>2098</v>
      </c>
      <c r="M38" s="13">
        <v>1.0416666666666666E-2</v>
      </c>
      <c r="N38" s="41" t="s">
        <v>2100</v>
      </c>
      <c r="O38" s="42">
        <f>IFERROR(IF(M38="","",SUM($O$11,$M$13:$M38)),"")</f>
        <v>1.2291666666666665</v>
      </c>
    </row>
    <row r="39" spans="1:15" ht="24.95" customHeight="1" x14ac:dyDescent="0.35">
      <c r="A39" s="51">
        <f t="shared" ref="A39" si="22">IF(C39="","",A37+1)</f>
        <v>15</v>
      </c>
      <c r="B39" s="54" t="str">
        <f>IFERROR(IF(C39="","",VLOOKUP(C39,'DURAK İSİMLERİ'!$C:$D,2,0)),"")</f>
        <v>GP1</v>
      </c>
      <c r="C39" s="85" t="s">
        <v>2121</v>
      </c>
      <c r="D39" s="37" t="s">
        <v>2097</v>
      </c>
      <c r="E39" s="14">
        <v>3.472222222222222E-3</v>
      </c>
      <c r="F39" s="39" t="s">
        <v>2099</v>
      </c>
      <c r="G39" s="40">
        <f>IFERROR(IF(E39="","",SUM($G$11,$E$13:$E39)),"")</f>
        <v>1.0659722222222223</v>
      </c>
      <c r="H39" s="44"/>
      <c r="I39" s="76">
        <f t="shared" ref="I39" si="23">IF(K39="","",I37+1)</f>
        <v>15</v>
      </c>
      <c r="J39" s="54" t="str">
        <f>IFERROR(IF(K39="","",VLOOKUP(K39,'DURAK İSİMLERİ'!$C:$D,2,0)),"")</f>
        <v>CY1</v>
      </c>
      <c r="K39" s="85" t="s">
        <v>2112</v>
      </c>
      <c r="L39" s="37" t="s">
        <v>2097</v>
      </c>
      <c r="M39" s="14">
        <v>3.8194444444444441E-2</v>
      </c>
      <c r="N39" s="39" t="s">
        <v>2099</v>
      </c>
      <c r="O39" s="40">
        <f>IFERROR(IF(M39="","",SUM($O$11,$M$13:$M39)),"")</f>
        <v>1.2673611111111109</v>
      </c>
    </row>
    <row r="40" spans="1:15" ht="24.95" customHeight="1" x14ac:dyDescent="0.35">
      <c r="A40" s="51"/>
      <c r="B40" s="55"/>
      <c r="C40" s="86"/>
      <c r="D40" s="38" t="s">
        <v>2098</v>
      </c>
      <c r="E40" s="15">
        <v>3.472222222222222E-3</v>
      </c>
      <c r="F40" s="41" t="s">
        <v>2100</v>
      </c>
      <c r="G40" s="42">
        <f>IFERROR(IF(E40="","",SUM($G$11,$E$13:$E40)),"")</f>
        <v>1.0694444444444446</v>
      </c>
      <c r="H40" s="44"/>
      <c r="I40" s="77"/>
      <c r="J40" s="55"/>
      <c r="K40" s="86"/>
      <c r="L40" s="38" t="s">
        <v>2098</v>
      </c>
      <c r="M40" s="15">
        <v>3.472222222222222E-3</v>
      </c>
      <c r="N40" s="41" t="s">
        <v>2100</v>
      </c>
      <c r="O40" s="42">
        <f>IFERROR(IF(M40="","",SUM($O$11,$M$13:$M40)),"")</f>
        <v>1.2708333333333333</v>
      </c>
    </row>
    <row r="41" spans="1:15" ht="24.95" customHeight="1" x14ac:dyDescent="0.35">
      <c r="A41" s="51">
        <f t="shared" ref="A41" si="24">IF(C41="","",A39+1)</f>
        <v>16</v>
      </c>
      <c r="B41" s="54" t="str">
        <f>IFERROR(IF(C41="","",VLOOKUP(C41,'DURAK İSİMLERİ'!$C:$D,2,0)),"")</f>
        <v>AL1</v>
      </c>
      <c r="C41" s="85" t="s">
        <v>2122</v>
      </c>
      <c r="D41" s="37" t="s">
        <v>2097</v>
      </c>
      <c r="E41" s="14">
        <v>3.8194444444444441E-2</v>
      </c>
      <c r="F41" s="39" t="s">
        <v>2099</v>
      </c>
      <c r="G41" s="40">
        <f>IFERROR(IF(E41="","",SUM($G$11,$E$13:$E41)),"")</f>
        <v>1.1076388888888891</v>
      </c>
      <c r="H41" s="44"/>
      <c r="I41" s="76">
        <f t="shared" ref="I41" si="25">IF(K41="","",I39+1)</f>
        <v>16</v>
      </c>
      <c r="J41" s="54" t="str">
        <f>IFERROR(IF(K41="","",VLOOKUP(K41,'DURAK İSİMLERİ'!$C:$D,2,0)),"")</f>
        <v>DT1</v>
      </c>
      <c r="K41" s="85" t="s">
        <v>2111</v>
      </c>
      <c r="L41" s="37" t="s">
        <v>2097</v>
      </c>
      <c r="M41" s="14">
        <v>3.125E-2</v>
      </c>
      <c r="N41" s="39" t="s">
        <v>2099</v>
      </c>
      <c r="O41" s="40">
        <f>IFERROR(IF(M41="","",SUM($O$11,$M$13:$M41)),"")</f>
        <v>1.3020833333333333</v>
      </c>
    </row>
    <row r="42" spans="1:15" ht="24.95" customHeight="1" x14ac:dyDescent="0.35">
      <c r="A42" s="51"/>
      <c r="B42" s="55"/>
      <c r="C42" s="86"/>
      <c r="D42" s="38" t="s">
        <v>2098</v>
      </c>
      <c r="E42" s="15">
        <v>6.9444444444444441E-3</v>
      </c>
      <c r="F42" s="41" t="s">
        <v>2100</v>
      </c>
      <c r="G42" s="42">
        <f>IFERROR(IF(E42="","",SUM($G$11,$E$13:$E42)),"")</f>
        <v>1.1145833333333335</v>
      </c>
      <c r="H42" s="44"/>
      <c r="I42" s="77"/>
      <c r="J42" s="55"/>
      <c r="K42" s="86"/>
      <c r="L42" s="38" t="s">
        <v>2098</v>
      </c>
      <c r="M42" s="15">
        <v>0</v>
      </c>
      <c r="N42" s="41" t="s">
        <v>2100</v>
      </c>
      <c r="O42" s="42">
        <f>IFERROR(IF(M42="","",SUM($O$11,$M$13:$M42)),"")</f>
        <v>1.3020833333333333</v>
      </c>
    </row>
    <row r="43" spans="1:15" ht="24.95" customHeight="1" x14ac:dyDescent="0.35">
      <c r="A43" s="51">
        <f t="shared" ref="A43" si="26">IF(C43="","",A41+1)</f>
        <v>17</v>
      </c>
      <c r="B43" s="54" t="str">
        <f>IFERROR(IF(C43="","",VLOOKUP(C43,'DURAK İSİMLERİ'!$C:$D,2,0)),"")</f>
        <v>MN1</v>
      </c>
      <c r="C43" s="85" t="s">
        <v>2123</v>
      </c>
      <c r="D43" s="37" t="s">
        <v>2097</v>
      </c>
      <c r="E43" s="14">
        <v>3.8194444444444441E-2</v>
      </c>
      <c r="F43" s="39" t="s">
        <v>2099</v>
      </c>
      <c r="G43" s="40">
        <f>IFERROR(IF(E43="","",SUM($G$11,$E$13:$E43)),"")</f>
        <v>1.1527777777777779</v>
      </c>
      <c r="H43" s="44"/>
      <c r="I43" s="76">
        <f t="shared" ref="I43" si="27">IF(K43="","",I41+1)</f>
        <v>17</v>
      </c>
      <c r="J43" s="54" t="str">
        <f>IFERROR(IF(K43="","",VLOOKUP(K43,'DURAK İSİMLERİ'!$C:$D,2,0)),"")</f>
        <v>PY1</v>
      </c>
      <c r="K43" s="85" t="s">
        <v>2110</v>
      </c>
      <c r="L43" s="37" t="s">
        <v>2097</v>
      </c>
      <c r="M43" s="14">
        <v>1.0416666666666666E-2</v>
      </c>
      <c r="N43" s="39" t="s">
        <v>2099</v>
      </c>
      <c r="O43" s="40">
        <f>IFERROR(IF(M43="","",SUM($O$11,$M$13:$M43)),"")</f>
        <v>1.3125</v>
      </c>
    </row>
    <row r="44" spans="1:15" ht="24.95" customHeight="1" x14ac:dyDescent="0.35">
      <c r="A44" s="51"/>
      <c r="B44" s="55"/>
      <c r="C44" s="86"/>
      <c r="D44" s="38" t="s">
        <v>2098</v>
      </c>
      <c r="E44" s="15">
        <v>3.472222222222222E-3</v>
      </c>
      <c r="F44" s="41" t="s">
        <v>2100</v>
      </c>
      <c r="G44" s="42">
        <f>IFERROR(IF(E44="","",SUM($G$11,$E$13:$E44)),"")</f>
        <v>1.1562500000000002</v>
      </c>
      <c r="H44" s="44"/>
      <c r="I44" s="77"/>
      <c r="J44" s="55"/>
      <c r="K44" s="86"/>
      <c r="L44" s="38" t="s">
        <v>2098</v>
      </c>
      <c r="M44" s="15">
        <v>0</v>
      </c>
      <c r="N44" s="41" t="s">
        <v>2100</v>
      </c>
      <c r="O44" s="42">
        <f>IFERROR(IF(M44="","",SUM($O$11,$M$13:$M44)),"")</f>
        <v>1.3125</v>
      </c>
    </row>
    <row r="45" spans="1:15" ht="24.95" customHeight="1" x14ac:dyDescent="0.35">
      <c r="A45" s="51">
        <f t="shared" ref="A45" si="28">IF(C45="","",A43+1)</f>
        <v>18</v>
      </c>
      <c r="B45" s="54" t="str">
        <f>IFERROR(IF(C45="","",VLOOKUP(C45,'DURAK İSİMLERİ'!$C:$D,2,0)),"")</f>
        <v>SR1</v>
      </c>
      <c r="C45" s="85" t="s">
        <v>2124</v>
      </c>
      <c r="D45" s="37" t="s">
        <v>2097</v>
      </c>
      <c r="E45" s="14">
        <v>2.7777777777777776E-2</v>
      </c>
      <c r="F45" s="39" t="s">
        <v>2099</v>
      </c>
      <c r="G45" s="40">
        <f>IFERROR(IF(E45="","",SUM($G$11,$E$13:$E45)),"")</f>
        <v>1.1840277777777779</v>
      </c>
      <c r="H45" s="44"/>
      <c r="I45" s="76">
        <f t="shared" ref="I45" si="29">IF(K45="","",I43+1)</f>
        <v>18</v>
      </c>
      <c r="J45" s="54" t="str">
        <f>IFERROR(IF(K45="","",VLOOKUP(K45,'DURAK İSİMLERİ'!$C:$D,2,0)),"")</f>
        <v/>
      </c>
      <c r="K45" s="85" t="s">
        <v>2109</v>
      </c>
      <c r="L45" s="37" t="s">
        <v>2097</v>
      </c>
      <c r="M45" s="14">
        <v>2.0833333333333332E-2</v>
      </c>
      <c r="N45" s="39" t="s">
        <v>2099</v>
      </c>
      <c r="O45" s="40">
        <f>IFERROR(IF(M45="","",SUM($O$11,$M$13:$M45)),"")</f>
        <v>1.3333333333333333</v>
      </c>
    </row>
    <row r="46" spans="1:15" ht="24.95" customHeight="1" x14ac:dyDescent="0.35">
      <c r="A46" s="51"/>
      <c r="B46" s="55"/>
      <c r="C46" s="86"/>
      <c r="D46" s="38" t="s">
        <v>2098</v>
      </c>
      <c r="E46" s="15">
        <v>3.472222222222222E-3</v>
      </c>
      <c r="F46" s="41" t="s">
        <v>2100</v>
      </c>
      <c r="G46" s="42">
        <f>IFERROR(IF(E46="","",SUM($G$11,$E$13:$E46)),"")</f>
        <v>1.1875000000000002</v>
      </c>
      <c r="H46" s="44"/>
      <c r="I46" s="77"/>
      <c r="J46" s="55"/>
      <c r="K46" s="86"/>
      <c r="L46" s="38" t="s">
        <v>2098</v>
      </c>
      <c r="M46" s="15">
        <v>0</v>
      </c>
      <c r="N46" s="41" t="s">
        <v>2100</v>
      </c>
      <c r="O46" s="42">
        <f>IFERROR(IF(M46="","",SUM($O$11,$M$13:$M46)),"")</f>
        <v>1.3333333333333333</v>
      </c>
    </row>
    <row r="47" spans="1:15" ht="24.95" customHeight="1" x14ac:dyDescent="0.35">
      <c r="A47" s="51">
        <f t="shared" ref="A47" si="30">IF(C47="","",A45+1)</f>
        <v>19</v>
      </c>
      <c r="B47" s="54" t="str">
        <f>IFERROR(IF(C47="","",VLOOKUP(C47,'DURAK İSİMLERİ'!$C:$D,2,0)),"")</f>
        <v>AT1</v>
      </c>
      <c r="C47" s="85" t="s">
        <v>2125</v>
      </c>
      <c r="D47" s="37" t="s">
        <v>2097</v>
      </c>
      <c r="E47" s="14">
        <v>3.125E-2</v>
      </c>
      <c r="F47" s="39" t="s">
        <v>2099</v>
      </c>
      <c r="G47" s="40">
        <f>IFERROR(IF(E47="","",SUM($G$11,$E$13:$E47)),"")</f>
        <v>1.2187500000000002</v>
      </c>
      <c r="H47" s="44"/>
      <c r="I47" s="76">
        <f t="shared" ref="I47" si="31">IF(K47="","",I45+1)</f>
        <v>19</v>
      </c>
      <c r="J47" s="54" t="str">
        <f>IFERROR(IF(K47="","",VLOOKUP(K47,'DURAK İSİMLERİ'!$C:$D,2,0)),"")</f>
        <v>QH1</v>
      </c>
      <c r="K47" s="85" t="s">
        <v>2108</v>
      </c>
      <c r="L47" s="37" t="s">
        <v>2097</v>
      </c>
      <c r="M47" s="14">
        <v>2.0833333333333332E-2</v>
      </c>
      <c r="N47" s="39" t="s">
        <v>2099</v>
      </c>
      <c r="O47" s="40">
        <f>IFERROR(IF(M47="","",SUM($O$11,$M$13:$M47)),"")</f>
        <v>1.3541666666666665</v>
      </c>
    </row>
    <row r="48" spans="1:15" ht="24.95" customHeight="1" x14ac:dyDescent="0.35">
      <c r="A48" s="51"/>
      <c r="B48" s="55"/>
      <c r="C48" s="86"/>
      <c r="D48" s="38" t="s">
        <v>2098</v>
      </c>
      <c r="E48" s="15">
        <v>1.0416666666666666E-2</v>
      </c>
      <c r="F48" s="41" t="s">
        <v>2100</v>
      </c>
      <c r="G48" s="42">
        <f>IFERROR(IF(E48="","",SUM($G$11,$E$13:$E48)),"")</f>
        <v>1.229166666666667</v>
      </c>
      <c r="H48" s="44"/>
      <c r="I48" s="77"/>
      <c r="J48" s="55"/>
      <c r="K48" s="86"/>
      <c r="L48" s="38" t="s">
        <v>2098</v>
      </c>
      <c r="M48" s="15">
        <v>0</v>
      </c>
      <c r="N48" s="41" t="s">
        <v>2100</v>
      </c>
      <c r="O48" s="42">
        <f>IFERROR(IF(M48="","",SUM($O$11,$M$13:$M48)),"")</f>
        <v>1.3541666666666665</v>
      </c>
    </row>
    <row r="49" spans="1:15" ht="24.95" customHeight="1" x14ac:dyDescent="0.35">
      <c r="A49" s="51">
        <f t="shared" ref="A49" si="32">IF(C49="","",A47+1)</f>
        <v>20</v>
      </c>
      <c r="B49" s="54" t="str">
        <f>IFERROR(IF(C49="","",VLOOKUP(C49,'DURAK İSİMLERİ'!$C:$D,2,0)),"")</f>
        <v>FH1</v>
      </c>
      <c r="C49" s="85" t="s">
        <v>2107</v>
      </c>
      <c r="D49" s="37" t="s">
        <v>2097</v>
      </c>
      <c r="E49" s="14">
        <v>0.10416666666666667</v>
      </c>
      <c r="F49" s="39" t="s">
        <v>2099</v>
      </c>
      <c r="G49" s="40">
        <f>IFERROR(IF(E49="","",SUM($G$11,$E$13:$E49)),"")</f>
        <v>1.3333333333333337</v>
      </c>
      <c r="H49" s="44"/>
      <c r="I49" s="76">
        <f t="shared" ref="I49" si="33">IF(K49="","",I47+1)</f>
        <v>20</v>
      </c>
      <c r="J49" s="54" t="str">
        <f>IFERROR(IF(K49="","",VLOOKUP(K49,'DURAK İSİMLERİ'!$C:$D,2,0)),"")</f>
        <v>HT1</v>
      </c>
      <c r="K49" s="85" t="s">
        <v>2129</v>
      </c>
      <c r="L49" s="37" t="s">
        <v>2097</v>
      </c>
      <c r="M49" s="14">
        <v>2.0833333333333332E-2</v>
      </c>
      <c r="N49" s="39" t="s">
        <v>2099</v>
      </c>
      <c r="O49" s="40">
        <f>IFERROR(IF(M49="","",SUM($O$11,$M$13:$M49)),"")</f>
        <v>1.3749999999999998</v>
      </c>
    </row>
    <row r="50" spans="1:15" ht="24.95" customHeight="1" x14ac:dyDescent="0.35">
      <c r="A50" s="51"/>
      <c r="B50" s="55"/>
      <c r="C50" s="86"/>
      <c r="D50" s="38" t="s">
        <v>2098</v>
      </c>
      <c r="E50" s="15">
        <v>0</v>
      </c>
      <c r="F50" s="41" t="s">
        <v>2100</v>
      </c>
      <c r="G50" s="42">
        <f>IFERROR(IF(E50="","",SUM($G$11,$E$13:$E50)),"")</f>
        <v>1.3333333333333337</v>
      </c>
      <c r="H50" s="44"/>
      <c r="I50" s="77"/>
      <c r="J50" s="55"/>
      <c r="K50" s="86"/>
      <c r="L50" s="38" t="s">
        <v>2098</v>
      </c>
      <c r="M50" s="15">
        <v>0</v>
      </c>
      <c r="N50" s="41" t="s">
        <v>2100</v>
      </c>
      <c r="O50" s="42">
        <f>IFERROR(IF(M50="","",SUM($O$11,$M$13:$M50)),"")</f>
        <v>1.3749999999999998</v>
      </c>
    </row>
    <row r="51" spans="1:15" ht="24.95" customHeight="1" x14ac:dyDescent="0.35">
      <c r="A51" s="51" t="str">
        <f t="shared" ref="A51" si="34">IF(C51="","",A49+1)</f>
        <v/>
      </c>
      <c r="B51" s="54" t="str">
        <f>IFERROR(IF(C51="","",VLOOKUP(C51,'DURAK İSİMLERİ'!$C:$D,2,0)),"")</f>
        <v/>
      </c>
      <c r="C51" s="70"/>
      <c r="D51" s="37" t="s">
        <v>2097</v>
      </c>
      <c r="E51" s="14"/>
      <c r="F51" s="39" t="s">
        <v>2099</v>
      </c>
      <c r="G51" s="40" t="str">
        <f>IFERROR(IF(E51="","",SUM($G$11,$E$13:$E51)),"")</f>
        <v/>
      </c>
      <c r="H51" s="44"/>
      <c r="I51" s="76" t="str">
        <f t="shared" ref="I51" si="35">IF(K51="","",I49+1)</f>
        <v/>
      </c>
      <c r="J51" s="54" t="str">
        <f>IFERROR(IF(K51="","",VLOOKUP(K51,'DURAK İSİMLERİ'!$C:$D,2,0)),"")</f>
        <v/>
      </c>
      <c r="K51" s="85"/>
      <c r="L51" s="37" t="s">
        <v>2097</v>
      </c>
      <c r="M51" s="14"/>
      <c r="N51" s="39" t="s">
        <v>2099</v>
      </c>
      <c r="O51" s="40" t="str">
        <f>IFERROR(IF(M51="","",SUM($O$11,$M$13:$M51)),"")</f>
        <v/>
      </c>
    </row>
    <row r="52" spans="1:15" ht="24.95" customHeight="1" x14ac:dyDescent="0.35">
      <c r="A52" s="51"/>
      <c r="B52" s="55"/>
      <c r="C52" s="70"/>
      <c r="D52" s="38" t="s">
        <v>2098</v>
      </c>
      <c r="E52" s="15"/>
      <c r="F52" s="41" t="s">
        <v>2100</v>
      </c>
      <c r="G52" s="42" t="str">
        <f>IFERROR(IF(E52="","",SUM($G$11,$E$13:$E52)),"")</f>
        <v/>
      </c>
      <c r="H52" s="44"/>
      <c r="I52" s="77"/>
      <c r="J52" s="55"/>
      <c r="K52" s="86"/>
      <c r="L52" s="38" t="s">
        <v>2098</v>
      </c>
      <c r="M52" s="15"/>
      <c r="N52" s="41" t="s">
        <v>2100</v>
      </c>
      <c r="O52" s="42" t="str">
        <f>IFERROR(IF(M52="","",SUM($O$11,$M$13:$M52)),"")</f>
        <v/>
      </c>
    </row>
    <row r="53" spans="1:15" ht="24.95" customHeight="1" x14ac:dyDescent="0.35">
      <c r="A53" s="51" t="str">
        <f t="shared" ref="A53" si="36">IF(C53="","",A51+1)</f>
        <v/>
      </c>
      <c r="B53" s="54" t="str">
        <f>IFERROR(IF(C53="","",VLOOKUP(C53,'DURAK İSİMLERİ'!$C:$D,2,0)),"")</f>
        <v/>
      </c>
      <c r="C53" s="70"/>
      <c r="D53" s="37" t="s">
        <v>2097</v>
      </c>
      <c r="E53" s="14"/>
      <c r="F53" s="39" t="s">
        <v>2099</v>
      </c>
      <c r="G53" s="40" t="str">
        <f>IFERROR(IF(E53="","",SUM($G$11,$E$13:$E53)),"")</f>
        <v/>
      </c>
      <c r="H53" s="44"/>
      <c r="I53" s="76" t="str">
        <f t="shared" ref="I53" si="37">IF(K53="","",I51+1)</f>
        <v/>
      </c>
      <c r="J53" s="54" t="str">
        <f>IFERROR(IF(K53="","",VLOOKUP(K53,'DURAK İSİMLERİ'!$C:$D,2,0)),"")</f>
        <v/>
      </c>
      <c r="K53" s="85"/>
      <c r="L53" s="37" t="s">
        <v>2097</v>
      </c>
      <c r="M53" s="14"/>
      <c r="N53" s="39" t="s">
        <v>2099</v>
      </c>
      <c r="O53" s="40" t="str">
        <f>IFERROR(IF(M53="","",SUM($O$11,$M$13:$M53)),"")</f>
        <v/>
      </c>
    </row>
    <row r="54" spans="1:15" ht="24.95" customHeight="1" x14ac:dyDescent="0.35">
      <c r="A54" s="51"/>
      <c r="B54" s="55"/>
      <c r="C54" s="70"/>
      <c r="D54" s="38" t="s">
        <v>2098</v>
      </c>
      <c r="E54" s="15"/>
      <c r="F54" s="41" t="s">
        <v>2100</v>
      </c>
      <c r="G54" s="42" t="str">
        <f>IFERROR(IF(E54="","",SUM($G$11,$E$13:$E54)),"")</f>
        <v/>
      </c>
      <c r="H54" s="44"/>
      <c r="I54" s="77"/>
      <c r="J54" s="55"/>
      <c r="K54" s="86"/>
      <c r="L54" s="38" t="s">
        <v>2098</v>
      </c>
      <c r="M54" s="15"/>
      <c r="N54" s="41" t="s">
        <v>2100</v>
      </c>
      <c r="O54" s="42" t="str">
        <f>IFERROR(IF(M54="","",SUM($O$11,$M$13:$M54)),"")</f>
        <v/>
      </c>
    </row>
    <row r="55" spans="1:15" ht="24.95" customHeight="1" x14ac:dyDescent="0.35">
      <c r="A55" s="51" t="str">
        <f t="shared" ref="A55" si="38">IF(C55="","",A53+1)</f>
        <v/>
      </c>
      <c r="B55" s="54" t="str">
        <f>IFERROR(IF(C55="","",VLOOKUP(C55,'DURAK İSİMLERİ'!$C:$D,2,0)),"")</f>
        <v/>
      </c>
      <c r="C55" s="70"/>
      <c r="D55" s="37" t="s">
        <v>2097</v>
      </c>
      <c r="E55" s="14"/>
      <c r="F55" s="39" t="s">
        <v>2099</v>
      </c>
      <c r="G55" s="40" t="str">
        <f>IFERROR(IF(E55="","",SUM($G$11,$E$13:$E55)),"")</f>
        <v/>
      </c>
      <c r="H55" s="44"/>
      <c r="I55" s="76" t="str">
        <f t="shared" ref="I55" si="39">IF(K55="","",I53+1)</f>
        <v/>
      </c>
      <c r="J55" s="54" t="str">
        <f>IFERROR(IF(K55="","",VLOOKUP(K55,'DURAK İSİMLERİ'!$C:$D,2,0)),"")</f>
        <v/>
      </c>
      <c r="K55" s="85"/>
      <c r="L55" s="37" t="s">
        <v>2097</v>
      </c>
      <c r="M55" s="14"/>
      <c r="N55" s="39" t="s">
        <v>2099</v>
      </c>
      <c r="O55" s="40" t="str">
        <f>IFERROR(IF(M55="","",SUM($O$11,$M$13:$M55)),"")</f>
        <v/>
      </c>
    </row>
    <row r="56" spans="1:15" ht="24.95" customHeight="1" x14ac:dyDescent="0.35">
      <c r="A56" s="51"/>
      <c r="B56" s="55"/>
      <c r="C56" s="70"/>
      <c r="D56" s="38" t="s">
        <v>2098</v>
      </c>
      <c r="E56" s="15"/>
      <c r="F56" s="41" t="s">
        <v>2100</v>
      </c>
      <c r="G56" s="42" t="str">
        <f>IFERROR(IF(E56="","",SUM($G$11,$E$13:$E56)),"")</f>
        <v/>
      </c>
      <c r="H56" s="44"/>
      <c r="I56" s="77"/>
      <c r="J56" s="55"/>
      <c r="K56" s="86"/>
      <c r="L56" s="38" t="s">
        <v>2098</v>
      </c>
      <c r="M56" s="15"/>
      <c r="N56" s="41" t="s">
        <v>2100</v>
      </c>
      <c r="O56" s="42" t="str">
        <f>IFERROR(IF(M56="","",SUM($O$11,$M$13:$M56)),"")</f>
        <v/>
      </c>
    </row>
    <row r="57" spans="1:15" ht="24.95" customHeight="1" x14ac:dyDescent="0.35">
      <c r="A57" s="51" t="str">
        <f t="shared" ref="A57" si="40">IF(C57="","",A55+1)</f>
        <v/>
      </c>
      <c r="B57" s="54" t="str">
        <f>IFERROR(IF(C57="","",VLOOKUP(C57,'DURAK İSİMLERİ'!$C:$D,2,0)),"")</f>
        <v/>
      </c>
      <c r="C57" s="70"/>
      <c r="D57" s="37" t="s">
        <v>2097</v>
      </c>
      <c r="E57" s="14"/>
      <c r="F57" s="39" t="s">
        <v>2099</v>
      </c>
      <c r="G57" s="40" t="str">
        <f>IFERROR(IF(E57="","",SUM($G$11,$E$13:$E57)),"")</f>
        <v/>
      </c>
      <c r="H57" s="44"/>
      <c r="I57" s="76" t="str">
        <f t="shared" ref="I57" si="41">IF(K57="","",I55+1)</f>
        <v/>
      </c>
      <c r="J57" s="54" t="str">
        <f>IFERROR(IF(K57="","",VLOOKUP(K57,'DURAK İSİMLERİ'!$C:$D,2,0)),"")</f>
        <v/>
      </c>
      <c r="K57" s="85"/>
      <c r="L57" s="37" t="s">
        <v>2097</v>
      </c>
      <c r="M57" s="14"/>
      <c r="N57" s="39" t="s">
        <v>2099</v>
      </c>
      <c r="O57" s="40" t="str">
        <f>IFERROR(IF(M57="","",SUM($O$11,$M$13:$M57)),"")</f>
        <v/>
      </c>
    </row>
    <row r="58" spans="1:15" ht="24.95" customHeight="1" x14ac:dyDescent="0.35">
      <c r="A58" s="51"/>
      <c r="B58" s="55"/>
      <c r="C58" s="70"/>
      <c r="D58" s="38" t="s">
        <v>2098</v>
      </c>
      <c r="E58" s="15"/>
      <c r="F58" s="41" t="s">
        <v>2100</v>
      </c>
      <c r="G58" s="42" t="str">
        <f>IFERROR(IF(E58="","",SUM($G$11,$E$13:$E58)),"")</f>
        <v/>
      </c>
      <c r="H58" s="44"/>
      <c r="I58" s="77"/>
      <c r="J58" s="55"/>
      <c r="K58" s="86"/>
      <c r="L58" s="38" t="s">
        <v>2098</v>
      </c>
      <c r="M58" s="15"/>
      <c r="N58" s="41" t="s">
        <v>2100</v>
      </c>
      <c r="O58" s="42" t="str">
        <f>IFERROR(IF(M58="","",SUM($O$11,$M$13:$M58)),"")</f>
        <v/>
      </c>
    </row>
    <row r="59" spans="1:15" ht="24.95" customHeight="1" x14ac:dyDescent="0.35">
      <c r="A59" s="51" t="str">
        <f t="shared" ref="A59" si="42">IF(C59="","",A57+1)</f>
        <v/>
      </c>
      <c r="B59" s="54" t="str">
        <f>IFERROR(IF(C59="","",VLOOKUP(C59,'DURAK İSİMLERİ'!$C:$D,2,0)),"")</f>
        <v/>
      </c>
      <c r="C59" s="70"/>
      <c r="D59" s="37" t="s">
        <v>2097</v>
      </c>
      <c r="E59" s="14"/>
      <c r="F59" s="39" t="s">
        <v>2099</v>
      </c>
      <c r="G59" s="40" t="str">
        <f>IFERROR(IF(E59="","",SUM($G$11,$E$13:$E59)),"")</f>
        <v/>
      </c>
      <c r="H59" s="44"/>
      <c r="I59" s="76" t="str">
        <f t="shared" ref="I59" si="43">IF(K59="","",I57+1)</f>
        <v/>
      </c>
      <c r="J59" s="54" t="str">
        <f>IFERROR(IF(K59="","",VLOOKUP(K59,'DURAK İSİMLERİ'!$C:$D,2,0)),"")</f>
        <v/>
      </c>
      <c r="K59" s="85"/>
      <c r="L59" s="37" t="s">
        <v>2097</v>
      </c>
      <c r="M59" s="14"/>
      <c r="N59" s="39" t="s">
        <v>2099</v>
      </c>
      <c r="O59" s="40" t="str">
        <f>IFERROR(IF(M59="","",SUM($O$11,$M$13:$M59)),"")</f>
        <v/>
      </c>
    </row>
    <row r="60" spans="1:15" ht="24.95" customHeight="1" x14ac:dyDescent="0.35">
      <c r="A60" s="51"/>
      <c r="B60" s="55"/>
      <c r="C60" s="70"/>
      <c r="D60" s="38" t="s">
        <v>2098</v>
      </c>
      <c r="E60" s="15"/>
      <c r="F60" s="41" t="s">
        <v>2100</v>
      </c>
      <c r="G60" s="42" t="str">
        <f>IFERROR(IF(E60="","",SUM($G$11,$E$13:$E60)),"")</f>
        <v/>
      </c>
      <c r="H60" s="44"/>
      <c r="I60" s="77"/>
      <c r="J60" s="55"/>
      <c r="K60" s="86"/>
      <c r="L60" s="38" t="s">
        <v>2098</v>
      </c>
      <c r="M60" s="15"/>
      <c r="N60" s="41" t="s">
        <v>2100</v>
      </c>
      <c r="O60" s="42" t="str">
        <f>IFERROR(IF(M60="","",SUM($O$11,$M$13:$M60)),"")</f>
        <v/>
      </c>
    </row>
    <row r="61" spans="1:15" ht="24.95" customHeight="1" x14ac:dyDescent="0.35">
      <c r="A61" s="51" t="str">
        <f t="shared" ref="A61" si="44">IF(C61="","",A59+1)</f>
        <v/>
      </c>
      <c r="B61" s="54" t="str">
        <f>IFERROR(IF(C61="","",VLOOKUP(C61,'DURAK İSİMLERİ'!$C:$D,2,0)),"")</f>
        <v/>
      </c>
      <c r="C61" s="70"/>
      <c r="D61" s="37" t="s">
        <v>2097</v>
      </c>
      <c r="E61" s="14"/>
      <c r="F61" s="39" t="s">
        <v>2099</v>
      </c>
      <c r="G61" s="40" t="str">
        <f>IFERROR(IF(E61="","",SUM($G$11,$E$13:$E61)),"")</f>
        <v/>
      </c>
      <c r="H61" s="44"/>
      <c r="I61" s="76" t="str">
        <f t="shared" ref="I61" si="45">IF(K61="","",I59+1)</f>
        <v/>
      </c>
      <c r="J61" s="54" t="str">
        <f>IFERROR(IF(K61="","",VLOOKUP(K61,'DURAK İSİMLERİ'!$C:$D,2,0)),"")</f>
        <v/>
      </c>
      <c r="K61" s="85"/>
      <c r="L61" s="37" t="s">
        <v>2097</v>
      </c>
      <c r="M61" s="14"/>
      <c r="N61" s="39" t="s">
        <v>2099</v>
      </c>
      <c r="O61" s="40" t="str">
        <f>IFERROR(IF(M61="","",SUM($O$11,$M$13:$M61)),"")</f>
        <v/>
      </c>
    </row>
    <row r="62" spans="1:15" ht="24.95" customHeight="1" x14ac:dyDescent="0.35">
      <c r="A62" s="51"/>
      <c r="B62" s="55"/>
      <c r="C62" s="70"/>
      <c r="D62" s="38" t="s">
        <v>2098</v>
      </c>
      <c r="E62" s="15"/>
      <c r="F62" s="41" t="s">
        <v>2100</v>
      </c>
      <c r="G62" s="42" t="str">
        <f>IFERROR(IF(E62="","",SUM($G$11,$E$13:$E62)),"")</f>
        <v/>
      </c>
      <c r="H62" s="44"/>
      <c r="I62" s="77"/>
      <c r="J62" s="55"/>
      <c r="K62" s="86"/>
      <c r="L62" s="38" t="s">
        <v>2098</v>
      </c>
      <c r="M62" s="15"/>
      <c r="N62" s="41" t="s">
        <v>2100</v>
      </c>
      <c r="O62" s="42" t="str">
        <f>IFERROR(IF(M62="","",SUM($O$11,$M$13:$M62)),"")</f>
        <v/>
      </c>
    </row>
    <row r="63" spans="1:15" ht="24.95" customHeight="1" x14ac:dyDescent="0.35">
      <c r="A63" s="51" t="str">
        <f t="shared" ref="A63" si="46">IF(C63="","",A61+1)</f>
        <v/>
      </c>
      <c r="B63" s="54" t="str">
        <f>IFERROR(IF(C63="","",VLOOKUP(C63,'DURAK İSİMLERİ'!$C:$D,2,0)),"")</f>
        <v/>
      </c>
      <c r="C63" s="70"/>
      <c r="D63" s="37" t="s">
        <v>2097</v>
      </c>
      <c r="E63" s="14"/>
      <c r="F63" s="39" t="s">
        <v>2099</v>
      </c>
      <c r="G63" s="40" t="str">
        <f>IFERROR(IF(E63="","",SUM($G$11,$E$13:$E63)),"")</f>
        <v/>
      </c>
      <c r="H63" s="44"/>
      <c r="I63" s="76" t="str">
        <f t="shared" ref="I63" si="47">IF(K63="","",I61+1)</f>
        <v/>
      </c>
      <c r="J63" s="54" t="str">
        <f>IFERROR(IF(K63="","",VLOOKUP(K63,'DURAK İSİMLERİ'!$C:$D,2,0)),"")</f>
        <v/>
      </c>
      <c r="K63" s="85"/>
      <c r="L63" s="37" t="s">
        <v>2097</v>
      </c>
      <c r="M63" s="14"/>
      <c r="N63" s="39" t="s">
        <v>2099</v>
      </c>
      <c r="O63" s="40" t="str">
        <f>IFERROR(IF(M63="","",SUM($O$11,$M$13:$M63)),"")</f>
        <v/>
      </c>
    </row>
    <row r="64" spans="1:15" ht="24.95" customHeight="1" x14ac:dyDescent="0.35">
      <c r="A64" s="51"/>
      <c r="B64" s="55"/>
      <c r="C64" s="70"/>
      <c r="D64" s="38" t="s">
        <v>2098</v>
      </c>
      <c r="E64" s="15"/>
      <c r="F64" s="41" t="s">
        <v>2100</v>
      </c>
      <c r="G64" s="42" t="str">
        <f>IFERROR(IF(E64="","",SUM($G$11,$E$13:$E64)),"")</f>
        <v/>
      </c>
      <c r="H64" s="44"/>
      <c r="I64" s="77"/>
      <c r="J64" s="55"/>
      <c r="K64" s="86"/>
      <c r="L64" s="38" t="s">
        <v>2098</v>
      </c>
      <c r="M64" s="15"/>
      <c r="N64" s="41" t="s">
        <v>2100</v>
      </c>
      <c r="O64" s="42" t="str">
        <f>IFERROR(IF(M64="","",SUM($O$11,$M$13:$M64)),"")</f>
        <v/>
      </c>
    </row>
    <row r="65" spans="1:15" ht="24.95" customHeight="1" x14ac:dyDescent="0.35">
      <c r="A65" s="51" t="str">
        <f t="shared" ref="A65" si="48">IF(C65="","",A63+1)</f>
        <v/>
      </c>
      <c r="B65" s="54" t="str">
        <f>IFERROR(IF(C65="","",VLOOKUP(C65,'DURAK İSİMLERİ'!$C:$D,2,0)),"")</f>
        <v/>
      </c>
      <c r="C65" s="70"/>
      <c r="D65" s="37" t="s">
        <v>2097</v>
      </c>
      <c r="E65" s="14"/>
      <c r="F65" s="39" t="s">
        <v>2099</v>
      </c>
      <c r="G65" s="40" t="str">
        <f>IFERROR(IF(E65="","",SUM($G$11,$E$13:$E65)),"")</f>
        <v/>
      </c>
      <c r="H65" s="44"/>
      <c r="I65" s="76" t="str">
        <f t="shared" ref="I65" si="49">IF(K65="","",I63+1)</f>
        <v/>
      </c>
      <c r="J65" s="54" t="str">
        <f>IFERROR(IF(K65="","",VLOOKUP(K65,'DURAK İSİMLERİ'!$C:$D,2,0)),"")</f>
        <v/>
      </c>
      <c r="K65" s="85"/>
      <c r="L65" s="37" t="s">
        <v>2097</v>
      </c>
      <c r="M65" s="14"/>
      <c r="N65" s="39" t="s">
        <v>2099</v>
      </c>
      <c r="O65" s="40" t="str">
        <f>IFERROR(IF(M65="","",SUM($O$11,$M$13:$M65)),"")</f>
        <v/>
      </c>
    </row>
    <row r="66" spans="1:15" ht="24.95" customHeight="1" x14ac:dyDescent="0.35">
      <c r="A66" s="51"/>
      <c r="B66" s="55"/>
      <c r="C66" s="70"/>
      <c r="D66" s="38" t="s">
        <v>2098</v>
      </c>
      <c r="E66" s="15"/>
      <c r="F66" s="41" t="s">
        <v>2100</v>
      </c>
      <c r="G66" s="42" t="str">
        <f>IFERROR(IF(E66="","",SUM($G$11,$E$13:$E66)),"")</f>
        <v/>
      </c>
      <c r="H66" s="44"/>
      <c r="I66" s="77"/>
      <c r="J66" s="55"/>
      <c r="K66" s="86"/>
      <c r="L66" s="38" t="s">
        <v>2098</v>
      </c>
      <c r="M66" s="15"/>
      <c r="N66" s="41" t="s">
        <v>2100</v>
      </c>
      <c r="O66" s="42" t="str">
        <f>IFERROR(IF(M66="","",SUM($O$11,$M$13:$M66)),"")</f>
        <v/>
      </c>
    </row>
    <row r="67" spans="1:15" ht="24.95" customHeight="1" x14ac:dyDescent="0.35">
      <c r="A67" s="51" t="str">
        <f t="shared" ref="A67" si="50">IF(C67="","",A65+1)</f>
        <v/>
      </c>
      <c r="B67" s="54" t="str">
        <f>IFERROR(IF(C67="","",VLOOKUP(C67,'DURAK İSİMLERİ'!$C:$D,2,0)),"")</f>
        <v/>
      </c>
      <c r="C67" s="70"/>
      <c r="D67" s="37" t="s">
        <v>2097</v>
      </c>
      <c r="E67" s="14"/>
      <c r="F67" s="39" t="s">
        <v>2099</v>
      </c>
      <c r="G67" s="40" t="str">
        <f>IFERROR(IF(E67="","",SUM($G$11,$E$13:$E67)),"")</f>
        <v/>
      </c>
      <c r="H67" s="44"/>
      <c r="I67" s="76" t="str">
        <f t="shared" ref="I67" si="51">IF(K67="","",I65+1)</f>
        <v/>
      </c>
      <c r="J67" s="54" t="str">
        <f>IFERROR(IF(K67="","",VLOOKUP(K67,'DURAK İSİMLERİ'!$C:$D,2,0)),"")</f>
        <v/>
      </c>
      <c r="K67" s="85"/>
      <c r="L67" s="37" t="s">
        <v>2097</v>
      </c>
      <c r="M67" s="14"/>
      <c r="N67" s="39" t="s">
        <v>2099</v>
      </c>
      <c r="O67" s="40" t="str">
        <f>IFERROR(IF(M67="","",SUM($O$11,$M$13:$M67)),"")</f>
        <v/>
      </c>
    </row>
    <row r="68" spans="1:15" ht="24.95" customHeight="1" x14ac:dyDescent="0.35">
      <c r="A68" s="51"/>
      <c r="B68" s="55"/>
      <c r="C68" s="70"/>
      <c r="D68" s="38" t="s">
        <v>2098</v>
      </c>
      <c r="E68" s="15"/>
      <c r="F68" s="41" t="s">
        <v>2100</v>
      </c>
      <c r="G68" s="42" t="str">
        <f>IFERROR(IF(E68="","",SUM($G$11,$E$13:$E68)),"")</f>
        <v/>
      </c>
      <c r="H68" s="44"/>
      <c r="I68" s="77"/>
      <c r="J68" s="55"/>
      <c r="K68" s="86"/>
      <c r="L68" s="38" t="s">
        <v>2098</v>
      </c>
      <c r="M68" s="15"/>
      <c r="N68" s="41" t="s">
        <v>2100</v>
      </c>
      <c r="O68" s="42" t="str">
        <f>IFERROR(IF(M68="","",SUM($O$11,$M$13:$M68)),"")</f>
        <v/>
      </c>
    </row>
    <row r="69" spans="1:15" ht="24.95" customHeight="1" x14ac:dyDescent="0.35">
      <c r="A69" s="51" t="str">
        <f t="shared" ref="A69" si="52">IF(C69="","",A67+1)</f>
        <v/>
      </c>
      <c r="B69" s="54" t="str">
        <f>IFERROR(IF(C69="","",VLOOKUP(C69,'DURAK İSİMLERİ'!$C:$D,2,0)),"")</f>
        <v/>
      </c>
      <c r="C69" s="70"/>
      <c r="D69" s="37" t="s">
        <v>2097</v>
      </c>
      <c r="E69" s="14"/>
      <c r="F69" s="39" t="s">
        <v>2099</v>
      </c>
      <c r="G69" s="40" t="str">
        <f>IFERROR(IF(E69="","",SUM($G$11,$E$13:$E69)),"")</f>
        <v/>
      </c>
      <c r="H69" s="44"/>
      <c r="I69" s="76" t="str">
        <f t="shared" ref="I69" si="53">IF(K69="","",I67+1)</f>
        <v/>
      </c>
      <c r="J69" s="54" t="str">
        <f>IFERROR(IF(K69="","",VLOOKUP(K69,'DURAK İSİMLERİ'!$C:$D,2,0)),"")</f>
        <v/>
      </c>
      <c r="K69" s="85"/>
      <c r="L69" s="37" t="s">
        <v>2097</v>
      </c>
      <c r="M69" s="14"/>
      <c r="N69" s="39" t="s">
        <v>2099</v>
      </c>
      <c r="O69" s="40" t="str">
        <f>IFERROR(IF(M69="","",SUM($O$11,$M$13:$M69)),"")</f>
        <v/>
      </c>
    </row>
    <row r="70" spans="1:15" ht="24.95" customHeight="1" x14ac:dyDescent="0.35">
      <c r="A70" s="51"/>
      <c r="B70" s="55"/>
      <c r="C70" s="70"/>
      <c r="D70" s="38" t="s">
        <v>2098</v>
      </c>
      <c r="E70" s="15"/>
      <c r="F70" s="41" t="s">
        <v>2100</v>
      </c>
      <c r="G70" s="42" t="str">
        <f>IFERROR(IF(E70="","",SUM($G$11,$E$13:$E70)),"")</f>
        <v/>
      </c>
      <c r="H70" s="44"/>
      <c r="I70" s="77"/>
      <c r="J70" s="55"/>
      <c r="K70" s="86"/>
      <c r="L70" s="38" t="s">
        <v>2098</v>
      </c>
      <c r="M70" s="15"/>
      <c r="N70" s="41" t="s">
        <v>2100</v>
      </c>
      <c r="O70" s="42" t="str">
        <f>IFERROR(IF(M70="","",SUM($O$11,$M$13:$M70)),"")</f>
        <v/>
      </c>
    </row>
    <row r="71" spans="1:15" ht="24.95" customHeight="1" x14ac:dyDescent="0.35">
      <c r="A71" s="51" t="str">
        <f t="shared" ref="A71" si="54">IF(C71="","",A69+1)</f>
        <v/>
      </c>
      <c r="B71" s="54" t="str">
        <f>IFERROR(IF(C71="","",VLOOKUP(C71,'DURAK İSİMLERİ'!$C:$D,2,0)),"")</f>
        <v/>
      </c>
      <c r="C71" s="70"/>
      <c r="D71" s="37" t="s">
        <v>2097</v>
      </c>
      <c r="E71" s="14"/>
      <c r="F71" s="39" t="s">
        <v>2099</v>
      </c>
      <c r="G71" s="40" t="str">
        <f>IFERROR(IF(E71="","",SUM($G$11,$E$13:$E71)),"")</f>
        <v/>
      </c>
      <c r="H71" s="44"/>
      <c r="I71" s="76" t="str">
        <f t="shared" ref="I71" si="55">IF(K71="","",I69+1)</f>
        <v/>
      </c>
      <c r="J71" s="54" t="str">
        <f>IFERROR(IF(K71="","",VLOOKUP(K71,'DURAK İSİMLERİ'!$C:$D,2,0)),"")</f>
        <v/>
      </c>
      <c r="K71" s="85"/>
      <c r="L71" s="37" t="s">
        <v>2097</v>
      </c>
      <c r="M71" s="14"/>
      <c r="N71" s="39" t="s">
        <v>2099</v>
      </c>
      <c r="O71" s="40" t="str">
        <f>IFERROR(IF(M71="","",SUM($O$11,$M$13:$M71)),"")</f>
        <v/>
      </c>
    </row>
    <row r="72" spans="1:15" ht="24.95" customHeight="1" x14ac:dyDescent="0.35">
      <c r="A72" s="51"/>
      <c r="B72" s="55"/>
      <c r="C72" s="70"/>
      <c r="D72" s="38" t="s">
        <v>2098</v>
      </c>
      <c r="E72" s="15"/>
      <c r="F72" s="41" t="s">
        <v>2100</v>
      </c>
      <c r="G72" s="42" t="str">
        <f>IFERROR(IF(E72="","",SUM($G$11,$E$13:$E72)),"")</f>
        <v/>
      </c>
      <c r="H72" s="44"/>
      <c r="I72" s="77"/>
      <c r="J72" s="55"/>
      <c r="K72" s="86"/>
      <c r="L72" s="38" t="s">
        <v>2098</v>
      </c>
      <c r="M72" s="15"/>
      <c r="N72" s="41" t="s">
        <v>2100</v>
      </c>
      <c r="O72" s="42" t="str">
        <f>IFERROR(IF(M72="","",SUM($O$11,$M$13:$M72)),"")</f>
        <v/>
      </c>
    </row>
    <row r="73" spans="1:15" ht="24.95" customHeight="1" x14ac:dyDescent="0.35">
      <c r="A73" s="51" t="str">
        <f t="shared" ref="A73" si="56">IF(C73="","",A71+1)</f>
        <v/>
      </c>
      <c r="B73" s="54" t="str">
        <f>IFERROR(IF(C73="","",VLOOKUP(C73,'DURAK İSİMLERİ'!$C:$D,2,0)),"")</f>
        <v/>
      </c>
      <c r="C73" s="70"/>
      <c r="D73" s="37" t="s">
        <v>2097</v>
      </c>
      <c r="E73" s="14"/>
      <c r="F73" s="39" t="s">
        <v>2099</v>
      </c>
      <c r="G73" s="40" t="str">
        <f>IFERROR(IF(E73="","",SUM($G$11,$E$13:$E73)),"")</f>
        <v/>
      </c>
      <c r="H73" s="44"/>
      <c r="I73" s="76" t="str">
        <f t="shared" ref="I73" si="57">IF(K73="","",I71+1)</f>
        <v/>
      </c>
      <c r="J73" s="54" t="str">
        <f>IFERROR(IF(K73="","",VLOOKUP(K73,'DURAK İSİMLERİ'!$C:$D,2,0)),"")</f>
        <v/>
      </c>
      <c r="K73" s="85"/>
      <c r="L73" s="37" t="s">
        <v>2097</v>
      </c>
      <c r="M73" s="14"/>
      <c r="N73" s="39" t="s">
        <v>2099</v>
      </c>
      <c r="O73" s="40" t="str">
        <f>IFERROR(IF(M73="","",SUM($O$11,$M$13:$M73)),"")</f>
        <v/>
      </c>
    </row>
    <row r="74" spans="1:15" ht="24.95" customHeight="1" x14ac:dyDescent="0.35">
      <c r="A74" s="51"/>
      <c r="B74" s="55"/>
      <c r="C74" s="70"/>
      <c r="D74" s="38" t="s">
        <v>2098</v>
      </c>
      <c r="E74" s="15"/>
      <c r="F74" s="41" t="s">
        <v>2100</v>
      </c>
      <c r="G74" s="42" t="str">
        <f>IFERROR(IF(E74="","",SUM($G$11,$E$13:$E74)),"")</f>
        <v/>
      </c>
      <c r="H74" s="44"/>
      <c r="I74" s="77"/>
      <c r="J74" s="55"/>
      <c r="K74" s="86"/>
      <c r="L74" s="38" t="s">
        <v>2098</v>
      </c>
      <c r="M74" s="15"/>
      <c r="N74" s="41" t="s">
        <v>2100</v>
      </c>
      <c r="O74" s="42" t="str">
        <f>IFERROR(IF(M74="","",SUM($O$11,$M$13:$M74)),"")</f>
        <v/>
      </c>
    </row>
    <row r="75" spans="1:15" ht="24.95" customHeight="1" x14ac:dyDescent="0.35">
      <c r="A75" s="51" t="str">
        <f t="shared" ref="A75" si="58">IF(C75="","",A73+1)</f>
        <v/>
      </c>
      <c r="B75" s="54" t="str">
        <f>IFERROR(IF(C75="","",VLOOKUP(C75,'DURAK İSİMLERİ'!$C:$D,2,0)),"")</f>
        <v/>
      </c>
      <c r="C75" s="70"/>
      <c r="D75" s="37" t="s">
        <v>2097</v>
      </c>
      <c r="E75" s="14"/>
      <c r="F75" s="39" t="s">
        <v>2099</v>
      </c>
      <c r="G75" s="40" t="str">
        <f>IFERROR(IF(E75="","",SUM($G$11,$E$13:$E75)),"")</f>
        <v/>
      </c>
      <c r="H75" s="44"/>
      <c r="I75" s="76" t="str">
        <f t="shared" ref="I75" si="59">IF(K75="","",I73+1)</f>
        <v/>
      </c>
      <c r="J75" s="54" t="str">
        <f>IFERROR(IF(K75="","",VLOOKUP(K75,'DURAK İSİMLERİ'!$C:$D,2,0)),"")</f>
        <v/>
      </c>
      <c r="K75" s="85"/>
      <c r="L75" s="37" t="s">
        <v>2097</v>
      </c>
      <c r="M75" s="14"/>
      <c r="N75" s="39" t="s">
        <v>2099</v>
      </c>
      <c r="O75" s="40" t="str">
        <f>IFERROR(IF(M75="","",SUM($O$11,$M$13:$M75)),"")</f>
        <v/>
      </c>
    </row>
    <row r="76" spans="1:15" ht="24.95" customHeight="1" x14ac:dyDescent="0.35">
      <c r="A76" s="51"/>
      <c r="B76" s="55"/>
      <c r="C76" s="70"/>
      <c r="D76" s="38" t="s">
        <v>2098</v>
      </c>
      <c r="E76" s="15"/>
      <c r="F76" s="41" t="s">
        <v>2100</v>
      </c>
      <c r="G76" s="42" t="str">
        <f>IFERROR(IF(E76="","",SUM($G$11,$E$13:$E76)),"")</f>
        <v/>
      </c>
      <c r="H76" s="44"/>
      <c r="I76" s="77"/>
      <c r="J76" s="55"/>
      <c r="K76" s="86"/>
      <c r="L76" s="38" t="s">
        <v>2098</v>
      </c>
      <c r="M76" s="15"/>
      <c r="N76" s="41" t="s">
        <v>2100</v>
      </c>
      <c r="O76" s="42" t="str">
        <f>IFERROR(IF(M76="","",SUM($O$11,$M$13:$M76)),"")</f>
        <v/>
      </c>
    </row>
    <row r="77" spans="1:15" ht="24.95" customHeight="1" x14ac:dyDescent="0.35">
      <c r="A77" s="51" t="str">
        <f t="shared" ref="A77" si="60">IF(C77="","",A75+1)</f>
        <v/>
      </c>
      <c r="B77" s="54" t="str">
        <f>IFERROR(IF(C77="","",VLOOKUP(C77,'DURAK İSİMLERİ'!$C:$D,2,0)),"")</f>
        <v/>
      </c>
      <c r="C77" s="70"/>
      <c r="D77" s="37" t="s">
        <v>2097</v>
      </c>
      <c r="E77" s="14"/>
      <c r="F77" s="39" t="s">
        <v>2099</v>
      </c>
      <c r="G77" s="40" t="str">
        <f>IFERROR(IF(E77="","",SUM($G$11,$E$13:$E77)),"")</f>
        <v/>
      </c>
      <c r="H77" s="44"/>
      <c r="I77" s="76" t="str">
        <f t="shared" ref="I77" si="61">IF(K77="","",I75+1)</f>
        <v/>
      </c>
      <c r="J77" s="54" t="str">
        <f>IFERROR(IF(K77="","",VLOOKUP(K77,'DURAK İSİMLERİ'!$C:$D,2,0)),"")</f>
        <v/>
      </c>
      <c r="K77" s="85"/>
      <c r="L77" s="37" t="s">
        <v>2097</v>
      </c>
      <c r="M77" s="14"/>
      <c r="N77" s="39" t="s">
        <v>2099</v>
      </c>
      <c r="O77" s="40" t="str">
        <f>IFERROR(IF(M77="","",SUM($O$11,$M$13:$M77)),"")</f>
        <v/>
      </c>
    </row>
    <row r="78" spans="1:15" ht="24.95" customHeight="1" x14ac:dyDescent="0.35">
      <c r="A78" s="51"/>
      <c r="B78" s="55"/>
      <c r="C78" s="70"/>
      <c r="D78" s="38" t="s">
        <v>2098</v>
      </c>
      <c r="E78" s="15"/>
      <c r="F78" s="41" t="s">
        <v>2100</v>
      </c>
      <c r="G78" s="42" t="str">
        <f>IFERROR(IF(E78="","",SUM($G$11,$E$13:$E78)),"")</f>
        <v/>
      </c>
      <c r="H78" s="44"/>
      <c r="I78" s="77"/>
      <c r="J78" s="55"/>
      <c r="K78" s="86"/>
      <c r="L78" s="38" t="s">
        <v>2098</v>
      </c>
      <c r="M78" s="15"/>
      <c r="N78" s="41" t="s">
        <v>2100</v>
      </c>
      <c r="O78" s="42" t="str">
        <f>IFERROR(IF(M78="","",SUM($O$11,$M$13:$M78)),"")</f>
        <v/>
      </c>
    </row>
    <row r="79" spans="1:15" ht="24.95" customHeight="1" x14ac:dyDescent="0.35">
      <c r="A79" s="51" t="str">
        <f t="shared" ref="A79" si="62">IF(C79="","",A77+1)</f>
        <v/>
      </c>
      <c r="B79" s="54" t="str">
        <f>IFERROR(IF(C79="","",VLOOKUP(C79,'DURAK İSİMLERİ'!$C:$D,2,0)),"")</f>
        <v/>
      </c>
      <c r="C79" s="70"/>
      <c r="D79" s="37" t="s">
        <v>2097</v>
      </c>
      <c r="E79" s="14"/>
      <c r="F79" s="39" t="s">
        <v>2099</v>
      </c>
      <c r="G79" s="40" t="str">
        <f>IFERROR(IF(E79="","",SUM($G$11,$E$13:$E79)),"")</f>
        <v/>
      </c>
      <c r="H79" s="44"/>
      <c r="I79" s="76" t="str">
        <f t="shared" ref="I79" si="63">IF(K79="","",I77+1)</f>
        <v/>
      </c>
      <c r="J79" s="54" t="str">
        <f>IFERROR(IF(K79="","",VLOOKUP(K79,'DURAK İSİMLERİ'!$C:$D,2,0)),"")</f>
        <v/>
      </c>
      <c r="K79" s="85"/>
      <c r="L79" s="37" t="s">
        <v>2097</v>
      </c>
      <c r="M79" s="14"/>
      <c r="N79" s="39" t="s">
        <v>2099</v>
      </c>
      <c r="O79" s="40" t="str">
        <f>IFERROR(IF(M79="","",SUM($O$11,$M$13:$M79)),"")</f>
        <v/>
      </c>
    </row>
    <row r="80" spans="1:15" ht="24.95" customHeight="1" x14ac:dyDescent="0.35">
      <c r="A80" s="51"/>
      <c r="B80" s="55"/>
      <c r="C80" s="70"/>
      <c r="D80" s="38" t="s">
        <v>2098</v>
      </c>
      <c r="E80" s="15"/>
      <c r="F80" s="41" t="s">
        <v>2100</v>
      </c>
      <c r="G80" s="42" t="str">
        <f>IFERROR(IF(E80="","",SUM($G$11,$E$13:$E80)),"")</f>
        <v/>
      </c>
      <c r="H80" s="44"/>
      <c r="I80" s="77"/>
      <c r="J80" s="55"/>
      <c r="K80" s="86"/>
      <c r="L80" s="38" t="s">
        <v>2098</v>
      </c>
      <c r="M80" s="15"/>
      <c r="N80" s="41" t="s">
        <v>2100</v>
      </c>
      <c r="O80" s="42" t="str">
        <f>IFERROR(IF(M80="","",SUM($O$11,$M$13:$M80)),"")</f>
        <v/>
      </c>
    </row>
    <row r="81" spans="1:15" ht="24.95" customHeight="1" x14ac:dyDescent="0.35">
      <c r="A81" s="51" t="str">
        <f t="shared" ref="A81" si="64">IF(C81="","",A79+1)</f>
        <v/>
      </c>
      <c r="B81" s="54" t="str">
        <f>IFERROR(IF(C81="","",VLOOKUP(C81,'DURAK İSİMLERİ'!$C:$D,2,0)),"")</f>
        <v/>
      </c>
      <c r="C81" s="70"/>
      <c r="D81" s="37" t="s">
        <v>2097</v>
      </c>
      <c r="E81" s="14"/>
      <c r="F81" s="39" t="s">
        <v>2099</v>
      </c>
      <c r="G81" s="40" t="str">
        <f>IFERROR(IF(E81="","",SUM($G$11,$E$13:$E81)),"")</f>
        <v/>
      </c>
      <c r="H81" s="44"/>
      <c r="I81" s="76" t="str">
        <f t="shared" ref="I81" si="65">IF(K81="","",I79+1)</f>
        <v/>
      </c>
      <c r="J81" s="54" t="str">
        <f>IFERROR(IF(K81="","",VLOOKUP(K81,'DURAK İSİMLERİ'!$C:$D,2,0)),"")</f>
        <v/>
      </c>
      <c r="K81" s="85"/>
      <c r="L81" s="37" t="s">
        <v>2097</v>
      </c>
      <c r="M81" s="14"/>
      <c r="N81" s="39" t="s">
        <v>2099</v>
      </c>
      <c r="O81" s="40" t="str">
        <f>IFERROR(IF(M81="","",SUM($O$11,$M$13:$M81)),"")</f>
        <v/>
      </c>
    </row>
    <row r="82" spans="1:15" ht="24.95" customHeight="1" x14ac:dyDescent="0.35">
      <c r="A82" s="51"/>
      <c r="B82" s="55"/>
      <c r="C82" s="70"/>
      <c r="D82" s="38" t="s">
        <v>2098</v>
      </c>
      <c r="E82" s="15"/>
      <c r="F82" s="41" t="s">
        <v>2100</v>
      </c>
      <c r="G82" s="42" t="str">
        <f>IFERROR(IF(E82="","",SUM($G$11,$E$13:$E82)),"")</f>
        <v/>
      </c>
      <c r="H82" s="44"/>
      <c r="I82" s="77"/>
      <c r="J82" s="55"/>
      <c r="K82" s="86"/>
      <c r="L82" s="38" t="s">
        <v>2098</v>
      </c>
      <c r="M82" s="15"/>
      <c r="N82" s="41" t="s">
        <v>2100</v>
      </c>
      <c r="O82" s="42" t="str">
        <f>IFERROR(IF(M82="","",SUM($O$11,$M$13:$M82)),"")</f>
        <v/>
      </c>
    </row>
    <row r="83" spans="1:15" ht="24.95" customHeight="1" x14ac:dyDescent="0.35">
      <c r="A83" s="51" t="str">
        <f t="shared" ref="A83" si="66">IF(C83="","",A81+1)</f>
        <v/>
      </c>
      <c r="B83" s="54" t="str">
        <f>IFERROR(IF(C83="","",VLOOKUP(C83,'DURAK İSİMLERİ'!$C:$D,2,0)),"")</f>
        <v/>
      </c>
      <c r="C83" s="70"/>
      <c r="D83" s="37" t="s">
        <v>2097</v>
      </c>
      <c r="E83" s="14"/>
      <c r="F83" s="39" t="s">
        <v>2099</v>
      </c>
      <c r="G83" s="40" t="str">
        <f>IFERROR(IF(E83="","",SUM($G$11,$E$13:$E83)),"")</f>
        <v/>
      </c>
      <c r="H83" s="44"/>
      <c r="I83" s="76" t="str">
        <f t="shared" ref="I83" si="67">IF(K83="","",I81+1)</f>
        <v/>
      </c>
      <c r="J83" s="54" t="str">
        <f>IFERROR(IF(K83="","",VLOOKUP(K83,'DURAK İSİMLERİ'!$C:$D,2,0)),"")</f>
        <v/>
      </c>
      <c r="K83" s="85"/>
      <c r="L83" s="37" t="s">
        <v>2097</v>
      </c>
      <c r="M83" s="14"/>
      <c r="N83" s="39" t="s">
        <v>2099</v>
      </c>
      <c r="O83" s="40" t="str">
        <f>IFERROR(IF(M83="","",SUM($O$11,$M$13:$M83)),"")</f>
        <v/>
      </c>
    </row>
    <row r="84" spans="1:15" ht="24.95" customHeight="1" x14ac:dyDescent="0.35">
      <c r="A84" s="51"/>
      <c r="B84" s="55"/>
      <c r="C84" s="70"/>
      <c r="D84" s="38" t="s">
        <v>2098</v>
      </c>
      <c r="E84" s="15"/>
      <c r="F84" s="41" t="s">
        <v>2100</v>
      </c>
      <c r="G84" s="42" t="str">
        <f>IFERROR(IF(E84="","",SUM($G$11,$E$13:$E84)),"")</f>
        <v/>
      </c>
      <c r="H84" s="44"/>
      <c r="I84" s="77"/>
      <c r="J84" s="55"/>
      <c r="K84" s="86"/>
      <c r="L84" s="38" t="s">
        <v>2098</v>
      </c>
      <c r="M84" s="15"/>
      <c r="N84" s="41" t="s">
        <v>2100</v>
      </c>
      <c r="O84" s="42" t="str">
        <f>IFERROR(IF(M84="","",SUM($O$11,$M$13:$M84)),"")</f>
        <v/>
      </c>
    </row>
    <row r="85" spans="1:15" ht="24.95" customHeight="1" x14ac:dyDescent="0.35">
      <c r="A85" s="51" t="str">
        <f t="shared" ref="A85" si="68">IF(C85="","",A83+1)</f>
        <v/>
      </c>
      <c r="B85" s="54" t="str">
        <f>IFERROR(IF(C85="","",VLOOKUP(C85,'DURAK İSİMLERİ'!$C:$D,2,0)),"")</f>
        <v/>
      </c>
      <c r="C85" s="70"/>
      <c r="D85" s="37" t="s">
        <v>2097</v>
      </c>
      <c r="E85" s="14"/>
      <c r="F85" s="39" t="s">
        <v>2099</v>
      </c>
      <c r="G85" s="40" t="str">
        <f>IFERROR(IF(E85="","",SUM($G$11,$E$13:$E85)),"")</f>
        <v/>
      </c>
      <c r="H85" s="44"/>
      <c r="I85" s="76" t="str">
        <f t="shared" ref="I85" si="69">IF(K85="","",I83+1)</f>
        <v/>
      </c>
      <c r="J85" s="54" t="str">
        <f>IFERROR(IF(K85="","",VLOOKUP(K85,'DURAK İSİMLERİ'!$C:$D,2,0)),"")</f>
        <v/>
      </c>
      <c r="K85" s="85"/>
      <c r="L85" s="37" t="s">
        <v>2097</v>
      </c>
      <c r="M85" s="14"/>
      <c r="N85" s="39" t="s">
        <v>2099</v>
      </c>
      <c r="O85" s="40" t="str">
        <f>IFERROR(IF(M85="","",SUM($O$11,$M$13:$M85)),"")</f>
        <v/>
      </c>
    </row>
    <row r="86" spans="1:15" ht="24.95" customHeight="1" x14ac:dyDescent="0.35">
      <c r="A86" s="51"/>
      <c r="B86" s="55"/>
      <c r="C86" s="70"/>
      <c r="D86" s="38" t="s">
        <v>2098</v>
      </c>
      <c r="E86" s="15"/>
      <c r="F86" s="41" t="s">
        <v>2100</v>
      </c>
      <c r="G86" s="42" t="str">
        <f>IFERROR(IF(E86="","",SUM($G$11,$E$13:$E86)),"")</f>
        <v/>
      </c>
      <c r="H86" s="44"/>
      <c r="I86" s="77"/>
      <c r="J86" s="55"/>
      <c r="K86" s="86"/>
      <c r="L86" s="38" t="s">
        <v>2098</v>
      </c>
      <c r="M86" s="15"/>
      <c r="N86" s="41" t="s">
        <v>2100</v>
      </c>
      <c r="O86" s="42" t="str">
        <f>IFERROR(IF(M86="","",SUM($O$11,$M$13:$M86)),"")</f>
        <v/>
      </c>
    </row>
    <row r="87" spans="1:15" ht="24.95" customHeight="1" x14ac:dyDescent="0.35">
      <c r="A87" s="51" t="str">
        <f t="shared" ref="A87" si="70">IF(C87="","",A85+1)</f>
        <v/>
      </c>
      <c r="B87" s="54" t="str">
        <f>IFERROR(IF(C87="","",VLOOKUP(C87,'DURAK İSİMLERİ'!$C:$D,2,0)),"")</f>
        <v/>
      </c>
      <c r="C87" s="70"/>
      <c r="D87" s="37" t="s">
        <v>2097</v>
      </c>
      <c r="E87" s="14"/>
      <c r="F87" s="39" t="s">
        <v>2099</v>
      </c>
      <c r="G87" s="40" t="str">
        <f>IFERROR(IF(E87="","",SUM($G$11,$E$13:$E87)),"")</f>
        <v/>
      </c>
      <c r="H87" s="44"/>
      <c r="I87" s="76" t="str">
        <f t="shared" ref="I87" si="71">IF(K87="","",I85+1)</f>
        <v/>
      </c>
      <c r="J87" s="54" t="str">
        <f>IFERROR(IF(K87="","",VLOOKUP(K87,'DURAK İSİMLERİ'!$C:$D,2,0)),"")</f>
        <v/>
      </c>
      <c r="K87" s="85"/>
      <c r="L87" s="37" t="s">
        <v>2097</v>
      </c>
      <c r="M87" s="14"/>
      <c r="N87" s="39" t="s">
        <v>2099</v>
      </c>
      <c r="O87" s="40" t="str">
        <f>IFERROR(IF(M87="","",SUM($O$11,$M$13:$M87)),"")</f>
        <v/>
      </c>
    </row>
    <row r="88" spans="1:15" ht="24.95" customHeight="1" x14ac:dyDescent="0.35">
      <c r="A88" s="51"/>
      <c r="B88" s="55"/>
      <c r="C88" s="70"/>
      <c r="D88" s="38" t="s">
        <v>2098</v>
      </c>
      <c r="E88" s="15"/>
      <c r="F88" s="41" t="s">
        <v>2100</v>
      </c>
      <c r="G88" s="42" t="str">
        <f>IFERROR(IF(E88="","",SUM($G$11,$E$13:$E88)),"")</f>
        <v/>
      </c>
      <c r="H88" s="44"/>
      <c r="I88" s="77"/>
      <c r="J88" s="55"/>
      <c r="K88" s="86"/>
      <c r="L88" s="38" t="s">
        <v>2098</v>
      </c>
      <c r="M88" s="15"/>
      <c r="N88" s="41" t="s">
        <v>2100</v>
      </c>
      <c r="O88" s="42" t="str">
        <f>IFERROR(IF(M88="","",SUM($O$11,$M$13:$M88)),"")</f>
        <v/>
      </c>
    </row>
    <row r="89" spans="1:15" ht="24.95" customHeight="1" x14ac:dyDescent="0.35">
      <c r="A89" s="51" t="str">
        <f t="shared" ref="A89" si="72">IF(C89="","",A87+1)</f>
        <v/>
      </c>
      <c r="B89" s="54" t="str">
        <f>IFERROR(IF(C89="","",VLOOKUP(C89,'DURAK İSİMLERİ'!$C:$D,2,0)),"")</f>
        <v/>
      </c>
      <c r="C89" s="70"/>
      <c r="D89" s="37" t="s">
        <v>2097</v>
      </c>
      <c r="E89" s="14"/>
      <c r="F89" s="39" t="s">
        <v>2099</v>
      </c>
      <c r="G89" s="40" t="str">
        <f>IFERROR(IF(E89="","",SUM($G$11,$E$13:$E89)),"")</f>
        <v/>
      </c>
      <c r="H89" s="44"/>
      <c r="I89" s="76" t="str">
        <f t="shared" ref="I89" si="73">IF(K89="","",I87+1)</f>
        <v/>
      </c>
      <c r="J89" s="54" t="str">
        <f>IFERROR(IF(K89="","",VLOOKUP(K89,'DURAK İSİMLERİ'!$C:$D,2,0)),"")</f>
        <v/>
      </c>
      <c r="K89" s="85"/>
      <c r="L89" s="37" t="s">
        <v>2097</v>
      </c>
      <c r="M89" s="14"/>
      <c r="N89" s="39" t="s">
        <v>2099</v>
      </c>
      <c r="O89" s="40" t="str">
        <f>IFERROR(IF(M89="","",SUM($O$11,$M$13:$M89)),"")</f>
        <v/>
      </c>
    </row>
    <row r="90" spans="1:15" ht="24.95" customHeight="1" x14ac:dyDescent="0.35">
      <c r="A90" s="51"/>
      <c r="B90" s="55"/>
      <c r="C90" s="70"/>
      <c r="D90" s="38" t="s">
        <v>2098</v>
      </c>
      <c r="E90" s="15"/>
      <c r="F90" s="41" t="s">
        <v>2100</v>
      </c>
      <c r="G90" s="42" t="str">
        <f>IFERROR(IF(E90="","",SUM($G$11,$E$13:$E90)),"")</f>
        <v/>
      </c>
      <c r="H90" s="44"/>
      <c r="I90" s="77"/>
      <c r="J90" s="55"/>
      <c r="K90" s="86"/>
      <c r="L90" s="38" t="s">
        <v>2098</v>
      </c>
      <c r="M90" s="15"/>
      <c r="N90" s="41" t="s">
        <v>2100</v>
      </c>
      <c r="O90" s="42" t="str">
        <f>IFERROR(IF(M90="","",SUM($O$11,$M$13:$M90)),"")</f>
        <v/>
      </c>
    </row>
    <row r="91" spans="1:15" ht="24.95" customHeight="1" x14ac:dyDescent="0.35">
      <c r="A91" s="51" t="str">
        <f t="shared" ref="A91" si="74">IF(C91="","",A89+1)</f>
        <v/>
      </c>
      <c r="B91" s="54" t="str">
        <f>IFERROR(IF(C91="","",VLOOKUP(C91,'DURAK İSİMLERİ'!$C:$D,2,0)),"")</f>
        <v/>
      </c>
      <c r="C91" s="70"/>
      <c r="D91" s="37" t="s">
        <v>2097</v>
      </c>
      <c r="E91" s="14"/>
      <c r="F91" s="39" t="s">
        <v>2099</v>
      </c>
      <c r="G91" s="40" t="str">
        <f>IFERROR(IF(E91="","",SUM($G$11,$E$13:$E91)),"")</f>
        <v/>
      </c>
      <c r="H91" s="44"/>
      <c r="I91" s="76" t="str">
        <f t="shared" ref="I91" si="75">IF(K91="","",I89+1)</f>
        <v/>
      </c>
      <c r="J91" s="54" t="str">
        <f>IFERROR(IF(K91="","",VLOOKUP(K91,'DURAK İSİMLERİ'!$C:$D,2,0)),"")</f>
        <v/>
      </c>
      <c r="K91" s="85"/>
      <c r="L91" s="37" t="s">
        <v>2097</v>
      </c>
      <c r="M91" s="14"/>
      <c r="N91" s="39" t="s">
        <v>2099</v>
      </c>
      <c r="O91" s="40" t="str">
        <f>IFERROR(IF(M91="","",SUM($O$11,$M$13:$M91)),"")</f>
        <v/>
      </c>
    </row>
    <row r="92" spans="1:15" ht="24.95" customHeight="1" x14ac:dyDescent="0.35">
      <c r="A92" s="51"/>
      <c r="B92" s="55"/>
      <c r="C92" s="70"/>
      <c r="D92" s="38" t="s">
        <v>2098</v>
      </c>
      <c r="E92" s="15"/>
      <c r="F92" s="41" t="s">
        <v>2100</v>
      </c>
      <c r="G92" s="42" t="str">
        <f>IFERROR(IF(E92="","",SUM($G$11,$E$13:$E92)),"")</f>
        <v/>
      </c>
      <c r="H92" s="44"/>
      <c r="I92" s="77"/>
      <c r="J92" s="55"/>
      <c r="K92" s="86"/>
      <c r="L92" s="38" t="s">
        <v>2098</v>
      </c>
      <c r="M92" s="15"/>
      <c r="N92" s="41" t="s">
        <v>2100</v>
      </c>
      <c r="O92" s="42" t="str">
        <f>IFERROR(IF(M92="","",SUM($O$11,$M$13:$M92)),"")</f>
        <v/>
      </c>
    </row>
    <row r="93" spans="1:15" ht="24.95" customHeight="1" x14ac:dyDescent="0.35">
      <c r="A93" s="51" t="str">
        <f t="shared" ref="A93" si="76">IF(C93="","",A91+1)</f>
        <v/>
      </c>
      <c r="B93" s="54" t="str">
        <f>IFERROR(IF(C93="","",VLOOKUP(C93,'DURAK İSİMLERİ'!$C:$D,2,0)),"")</f>
        <v/>
      </c>
      <c r="C93" s="70"/>
      <c r="D93" s="37" t="s">
        <v>2097</v>
      </c>
      <c r="E93" s="14"/>
      <c r="F93" s="39" t="s">
        <v>2099</v>
      </c>
      <c r="G93" s="40" t="str">
        <f>IFERROR(IF(E93="","",SUM($G$11,$E$13:$E93)),"")</f>
        <v/>
      </c>
      <c r="H93" s="44"/>
      <c r="I93" s="76" t="str">
        <f t="shared" ref="I93" si="77">IF(K93="","",I91+1)</f>
        <v/>
      </c>
      <c r="J93" s="54" t="str">
        <f>IFERROR(IF(K93="","",VLOOKUP(K93,'DURAK İSİMLERİ'!$C:$D,2,0)),"")</f>
        <v/>
      </c>
      <c r="K93" s="85"/>
      <c r="L93" s="37" t="s">
        <v>2097</v>
      </c>
      <c r="M93" s="14"/>
      <c r="N93" s="39" t="s">
        <v>2099</v>
      </c>
      <c r="O93" s="40" t="str">
        <f>IFERROR(IF(M93="","",SUM($O$11,$M$13:$M93)),"")</f>
        <v/>
      </c>
    </row>
    <row r="94" spans="1:15" ht="24.95" customHeight="1" x14ac:dyDescent="0.35">
      <c r="A94" s="51"/>
      <c r="B94" s="55"/>
      <c r="C94" s="70"/>
      <c r="D94" s="38" t="s">
        <v>2098</v>
      </c>
      <c r="E94" s="15"/>
      <c r="F94" s="41" t="s">
        <v>2100</v>
      </c>
      <c r="G94" s="42" t="str">
        <f>IFERROR(IF(E94="","",SUM($G$11,$E$13:$E94)),"")</f>
        <v/>
      </c>
      <c r="H94" s="44"/>
      <c r="I94" s="77"/>
      <c r="J94" s="55"/>
      <c r="K94" s="86"/>
      <c r="L94" s="38" t="s">
        <v>2098</v>
      </c>
      <c r="M94" s="15"/>
      <c r="N94" s="41" t="s">
        <v>2100</v>
      </c>
      <c r="O94" s="42" t="str">
        <f>IFERROR(IF(M94="","",SUM($O$11,$M$13:$M94)),"")</f>
        <v/>
      </c>
    </row>
    <row r="95" spans="1:15" ht="24.95" customHeight="1" x14ac:dyDescent="0.35">
      <c r="A95" s="51" t="str">
        <f t="shared" ref="A95" si="78">IF(C95="","",A93+1)</f>
        <v/>
      </c>
      <c r="B95" s="54" t="str">
        <f>IFERROR(IF(C95="","",VLOOKUP(C95,'DURAK İSİMLERİ'!$C:$D,2,0)),"")</f>
        <v/>
      </c>
      <c r="C95" s="70"/>
      <c r="D95" s="37" t="s">
        <v>2097</v>
      </c>
      <c r="E95" s="14"/>
      <c r="F95" s="39" t="s">
        <v>2099</v>
      </c>
      <c r="G95" s="40" t="str">
        <f>IFERROR(IF(E95="","",SUM($G$11,$E$13:$E95)),"")</f>
        <v/>
      </c>
      <c r="H95" s="44"/>
      <c r="I95" s="76" t="str">
        <f t="shared" ref="I95" si="79">IF(K95="","",I93+1)</f>
        <v/>
      </c>
      <c r="J95" s="54" t="str">
        <f>IFERROR(IF(K95="","",VLOOKUP(K95,'DURAK İSİMLERİ'!$C:$D,2,0)),"")</f>
        <v/>
      </c>
      <c r="K95" s="85"/>
      <c r="L95" s="37" t="s">
        <v>2097</v>
      </c>
      <c r="M95" s="14"/>
      <c r="N95" s="39" t="s">
        <v>2099</v>
      </c>
      <c r="O95" s="40" t="str">
        <f>IFERROR(IF(M95="","",SUM($O$11,$M$13:$M95)),"")</f>
        <v/>
      </c>
    </row>
    <row r="96" spans="1:15" ht="24.95" customHeight="1" x14ac:dyDescent="0.35">
      <c r="A96" s="51"/>
      <c r="B96" s="55"/>
      <c r="C96" s="70"/>
      <c r="D96" s="38" t="s">
        <v>2098</v>
      </c>
      <c r="E96" s="15"/>
      <c r="F96" s="41" t="s">
        <v>2100</v>
      </c>
      <c r="G96" s="42" t="str">
        <f>IFERROR(IF(E96="","",SUM($G$11,$E$13:$E96)),"")</f>
        <v/>
      </c>
      <c r="H96" s="44"/>
      <c r="I96" s="77"/>
      <c r="J96" s="55"/>
      <c r="K96" s="86"/>
      <c r="L96" s="38" t="s">
        <v>2098</v>
      </c>
      <c r="M96" s="15"/>
      <c r="N96" s="41" t="s">
        <v>2100</v>
      </c>
      <c r="O96" s="42" t="str">
        <f>IFERROR(IF(M96="","",SUM($O$11,$M$13:$M96)),"")</f>
        <v/>
      </c>
    </row>
    <row r="97" spans="1:15" ht="24.95" customHeight="1" x14ac:dyDescent="0.35">
      <c r="A97" s="51" t="str">
        <f t="shared" ref="A97" si="80">IF(C97="","",A95+1)</f>
        <v/>
      </c>
      <c r="B97" s="54" t="str">
        <f>IFERROR(IF(C97="","",VLOOKUP(C97,'DURAK İSİMLERİ'!$C:$D,2,0)),"")</f>
        <v/>
      </c>
      <c r="C97" s="70"/>
      <c r="D97" s="37" t="s">
        <v>2097</v>
      </c>
      <c r="E97" s="14"/>
      <c r="F97" s="39" t="s">
        <v>2099</v>
      </c>
      <c r="G97" s="40" t="str">
        <f>IFERROR(IF(E97="","",SUM($G$11,$E$13:$E97)),"")</f>
        <v/>
      </c>
      <c r="H97" s="44"/>
      <c r="I97" s="76" t="str">
        <f t="shared" ref="I97" si="81">IF(K97="","",I95+1)</f>
        <v/>
      </c>
      <c r="J97" s="54" t="str">
        <f>IFERROR(IF(K97="","",VLOOKUP(K97,'DURAK İSİMLERİ'!$C:$D,2,0)),"")</f>
        <v/>
      </c>
      <c r="K97" s="85"/>
      <c r="L97" s="37" t="s">
        <v>2097</v>
      </c>
      <c r="M97" s="14"/>
      <c r="N97" s="39" t="s">
        <v>2099</v>
      </c>
      <c r="O97" s="40" t="str">
        <f>IFERROR(IF(M97="","",SUM($O$11,$M$13:$M97)),"")</f>
        <v/>
      </c>
    </row>
    <row r="98" spans="1:15" ht="24.95" customHeight="1" x14ac:dyDescent="0.35">
      <c r="A98" s="51"/>
      <c r="B98" s="55"/>
      <c r="C98" s="70"/>
      <c r="D98" s="38" t="s">
        <v>2098</v>
      </c>
      <c r="E98" s="15"/>
      <c r="F98" s="41" t="s">
        <v>2100</v>
      </c>
      <c r="G98" s="42" t="str">
        <f>IFERROR(IF(E98="","",SUM($G$11,$E$13:$E98)),"")</f>
        <v/>
      </c>
      <c r="H98" s="44"/>
      <c r="I98" s="77"/>
      <c r="J98" s="55"/>
      <c r="K98" s="86"/>
      <c r="L98" s="38" t="s">
        <v>2098</v>
      </c>
      <c r="M98" s="15"/>
      <c r="N98" s="41" t="s">
        <v>2100</v>
      </c>
      <c r="O98" s="42" t="str">
        <f>IFERROR(IF(M98="","",SUM($O$11,$M$13:$M98)),"")</f>
        <v/>
      </c>
    </row>
    <row r="99" spans="1:15" ht="24.95" customHeight="1" x14ac:dyDescent="0.35">
      <c r="A99" s="51" t="str">
        <f t="shared" ref="A99" si="82">IF(C99="","",A97+1)</f>
        <v/>
      </c>
      <c r="B99" s="54" t="str">
        <f>IFERROR(IF(C99="","",VLOOKUP(C99,'DURAK İSİMLERİ'!$C:$D,2,0)),"")</f>
        <v/>
      </c>
      <c r="C99" s="70"/>
      <c r="D99" s="37" t="s">
        <v>2097</v>
      </c>
      <c r="E99" s="14"/>
      <c r="F99" s="39" t="s">
        <v>2099</v>
      </c>
      <c r="G99" s="40" t="str">
        <f>IFERROR(IF(E99="","",SUM($G$11,$E$13:$E99)),"")</f>
        <v/>
      </c>
      <c r="H99" s="44"/>
      <c r="I99" s="76" t="str">
        <f t="shared" ref="I99" si="83">IF(K99="","",I97+1)</f>
        <v/>
      </c>
      <c r="J99" s="54" t="str">
        <f>IFERROR(IF(K99="","",VLOOKUP(K99,'DURAK İSİMLERİ'!$C:$D,2,0)),"")</f>
        <v/>
      </c>
      <c r="K99" s="85"/>
      <c r="L99" s="37" t="s">
        <v>2097</v>
      </c>
      <c r="M99" s="14"/>
      <c r="N99" s="39" t="s">
        <v>2099</v>
      </c>
      <c r="O99" s="40" t="str">
        <f>IFERROR(IF(M99="","",SUM($O$11,$M$13:$M99)),"")</f>
        <v/>
      </c>
    </row>
    <row r="100" spans="1:15" ht="24.95" customHeight="1" x14ac:dyDescent="0.35">
      <c r="A100" s="51"/>
      <c r="B100" s="55"/>
      <c r="C100" s="70"/>
      <c r="D100" s="38" t="s">
        <v>2098</v>
      </c>
      <c r="E100" s="15"/>
      <c r="F100" s="41" t="s">
        <v>2100</v>
      </c>
      <c r="G100" s="42" t="str">
        <f>IFERROR(IF(E100="","",SUM($G$11,$E$13:$E100)),"")</f>
        <v/>
      </c>
      <c r="H100" s="44"/>
      <c r="I100" s="77"/>
      <c r="J100" s="55"/>
      <c r="K100" s="86"/>
      <c r="L100" s="38" t="s">
        <v>2098</v>
      </c>
      <c r="M100" s="15"/>
      <c r="N100" s="41" t="s">
        <v>2100</v>
      </c>
      <c r="O100" s="42" t="str">
        <f>IFERROR(IF(M100="","",SUM($O$11,$M$13:$M100)),"")</f>
        <v/>
      </c>
    </row>
  </sheetData>
  <sheetProtection algorithmName="SHA-512" hashValue="bBY22WdltzyLfUz/C24kqzKSD6SNLQZurkdg1oLH2WaHhFPbTkpTdDn8Gf7WL9dhK55ET+kXvCtuKfpsaKkVTQ==" saltValue="e0n9+6DzaHqCk7qmzQ5XGw==" spinCount="100000" sheet="1" formatCells="0"/>
  <mergeCells count="296">
    <mergeCell ref="A8:C9"/>
    <mergeCell ref="D8:E9"/>
    <mergeCell ref="I8:K9"/>
    <mergeCell ref="L8:M9"/>
    <mergeCell ref="F8:F9"/>
    <mergeCell ref="N8:N9"/>
    <mergeCell ref="O8:O9"/>
    <mergeCell ref="G8:G9"/>
    <mergeCell ref="I97:I98"/>
    <mergeCell ref="J97:J98"/>
    <mergeCell ref="K97:K98"/>
    <mergeCell ref="K89:K90"/>
    <mergeCell ref="I71:I72"/>
    <mergeCell ref="J71:J72"/>
    <mergeCell ref="K71:K72"/>
    <mergeCell ref="I73:I74"/>
    <mergeCell ref="J73:J74"/>
    <mergeCell ref="K73:K74"/>
    <mergeCell ref="I75:I76"/>
    <mergeCell ref="J75:J76"/>
    <mergeCell ref="K75:K76"/>
    <mergeCell ref="I77:I78"/>
    <mergeCell ref="J77:J78"/>
    <mergeCell ref="K77:K78"/>
    <mergeCell ref="I99:I100"/>
    <mergeCell ref="J99:J100"/>
    <mergeCell ref="K99:K100"/>
    <mergeCell ref="A5:B5"/>
    <mergeCell ref="C5:E5"/>
    <mergeCell ref="I91:I92"/>
    <mergeCell ref="J91:J92"/>
    <mergeCell ref="K91:K92"/>
    <mergeCell ref="I93:I94"/>
    <mergeCell ref="J93:J94"/>
    <mergeCell ref="K93:K94"/>
    <mergeCell ref="I95:I96"/>
    <mergeCell ref="J95:J96"/>
    <mergeCell ref="K95:K96"/>
    <mergeCell ref="J83:J84"/>
    <mergeCell ref="K83:K84"/>
    <mergeCell ref="I85:I86"/>
    <mergeCell ref="J85:J86"/>
    <mergeCell ref="K85:K86"/>
    <mergeCell ref="I87:I88"/>
    <mergeCell ref="J87:J88"/>
    <mergeCell ref="K87:K88"/>
    <mergeCell ref="I89:I90"/>
    <mergeCell ref="J89:J90"/>
    <mergeCell ref="I79:I80"/>
    <mergeCell ref="J79:J80"/>
    <mergeCell ref="K79:K80"/>
    <mergeCell ref="I81:I82"/>
    <mergeCell ref="J81:J82"/>
    <mergeCell ref="K81:K82"/>
    <mergeCell ref="A95:A96"/>
    <mergeCell ref="B95:B96"/>
    <mergeCell ref="C95:C96"/>
    <mergeCell ref="A83:A84"/>
    <mergeCell ref="B83:B84"/>
    <mergeCell ref="C83:C84"/>
    <mergeCell ref="A85:A86"/>
    <mergeCell ref="B85:B86"/>
    <mergeCell ref="C85:C86"/>
    <mergeCell ref="A87:A88"/>
    <mergeCell ref="B87:B88"/>
    <mergeCell ref="C87:C88"/>
    <mergeCell ref="I83:I84"/>
    <mergeCell ref="A97:A98"/>
    <mergeCell ref="B97:B98"/>
    <mergeCell ref="C97:C98"/>
    <mergeCell ref="A99:A100"/>
    <mergeCell ref="B99:B100"/>
    <mergeCell ref="C99:C100"/>
    <mergeCell ref="A89:A90"/>
    <mergeCell ref="B89:B90"/>
    <mergeCell ref="C89:C90"/>
    <mergeCell ref="A91:A92"/>
    <mergeCell ref="B91:B92"/>
    <mergeCell ref="C91:C92"/>
    <mergeCell ref="A93:A94"/>
    <mergeCell ref="B93:B94"/>
    <mergeCell ref="C93:C94"/>
    <mergeCell ref="A77:A78"/>
    <mergeCell ref="B77:B78"/>
    <mergeCell ref="C77:C78"/>
    <mergeCell ref="A79:A80"/>
    <mergeCell ref="B79:B80"/>
    <mergeCell ref="C79:C80"/>
    <mergeCell ref="A81:A82"/>
    <mergeCell ref="B81:B82"/>
    <mergeCell ref="C81:C82"/>
    <mergeCell ref="A71:A72"/>
    <mergeCell ref="B71:B72"/>
    <mergeCell ref="C71:C72"/>
    <mergeCell ref="A73:A74"/>
    <mergeCell ref="B73:B74"/>
    <mergeCell ref="C73:C74"/>
    <mergeCell ref="A75:A76"/>
    <mergeCell ref="B75:B76"/>
    <mergeCell ref="C75:C76"/>
    <mergeCell ref="A69:A70"/>
    <mergeCell ref="B69:B70"/>
    <mergeCell ref="C69:C70"/>
    <mergeCell ref="I49:I50"/>
    <mergeCell ref="J49:J50"/>
    <mergeCell ref="K49:K50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I57:I58"/>
    <mergeCell ref="J57:J58"/>
    <mergeCell ref="K57:K58"/>
    <mergeCell ref="I59:I60"/>
    <mergeCell ref="J59:J60"/>
    <mergeCell ref="K59:K60"/>
    <mergeCell ref="A67:A68"/>
    <mergeCell ref="B67:B68"/>
    <mergeCell ref="C67:C68"/>
    <mergeCell ref="I69:I70"/>
    <mergeCell ref="J69:J70"/>
    <mergeCell ref="K69:K70"/>
    <mergeCell ref="I41:I42"/>
    <mergeCell ref="J41:J42"/>
    <mergeCell ref="K41:K42"/>
    <mergeCell ref="I43:I44"/>
    <mergeCell ref="J43:J44"/>
    <mergeCell ref="K43:K44"/>
    <mergeCell ref="I45:I46"/>
    <mergeCell ref="J45:J46"/>
    <mergeCell ref="K45:K46"/>
    <mergeCell ref="J63:J64"/>
    <mergeCell ref="K63:K64"/>
    <mergeCell ref="C31:C32"/>
    <mergeCell ref="B37:B38"/>
    <mergeCell ref="A37:A38"/>
    <mergeCell ref="C37:C38"/>
    <mergeCell ref="A39:A40"/>
    <mergeCell ref="C39:C40"/>
    <mergeCell ref="J65:J66"/>
    <mergeCell ref="K65:K66"/>
    <mergeCell ref="I67:I68"/>
    <mergeCell ref="J67:J68"/>
    <mergeCell ref="K67:K68"/>
    <mergeCell ref="B65:B66"/>
    <mergeCell ref="C65:C66"/>
    <mergeCell ref="A49:A50"/>
    <mergeCell ref="B49:B50"/>
    <mergeCell ref="C49:C50"/>
    <mergeCell ref="A51:A52"/>
    <mergeCell ref="B51:B52"/>
    <mergeCell ref="C51:C52"/>
    <mergeCell ref="A53:A54"/>
    <mergeCell ref="B53:B54"/>
    <mergeCell ref="C53:C54"/>
    <mergeCell ref="A55:A56"/>
    <mergeCell ref="B55:B56"/>
    <mergeCell ref="A41:A42"/>
    <mergeCell ref="B41:B42"/>
    <mergeCell ref="C41:C42"/>
    <mergeCell ref="A43:A44"/>
    <mergeCell ref="B43:B44"/>
    <mergeCell ref="C43:C44"/>
    <mergeCell ref="A45:A46"/>
    <mergeCell ref="B45:B46"/>
    <mergeCell ref="C45:C46"/>
    <mergeCell ref="A47:A48"/>
    <mergeCell ref="B47:B48"/>
    <mergeCell ref="C47:C48"/>
    <mergeCell ref="A63:A64"/>
    <mergeCell ref="B63:B64"/>
    <mergeCell ref="C63:C64"/>
    <mergeCell ref="I47:I48"/>
    <mergeCell ref="I63:I64"/>
    <mergeCell ref="I65:I66"/>
    <mergeCell ref="C61:C62"/>
    <mergeCell ref="B61:B62"/>
    <mergeCell ref="A61:A62"/>
    <mergeCell ref="A65:A66"/>
    <mergeCell ref="C55:C56"/>
    <mergeCell ref="A57:A58"/>
    <mergeCell ref="B57:B58"/>
    <mergeCell ref="C57:C58"/>
    <mergeCell ref="A59:A60"/>
    <mergeCell ref="B59:B60"/>
    <mergeCell ref="C59:C60"/>
    <mergeCell ref="B39:B40"/>
    <mergeCell ref="I61:I62"/>
    <mergeCell ref="J61:J62"/>
    <mergeCell ref="K61:K62"/>
    <mergeCell ref="J47:J48"/>
    <mergeCell ref="K47:K48"/>
    <mergeCell ref="B13:B14"/>
    <mergeCell ref="C33:C34"/>
    <mergeCell ref="B29:B30"/>
    <mergeCell ref="B31:B32"/>
    <mergeCell ref="B33:B34"/>
    <mergeCell ref="C17:C18"/>
    <mergeCell ref="C19:C20"/>
    <mergeCell ref="C21:C22"/>
    <mergeCell ref="K29:K30"/>
    <mergeCell ref="I31:I32"/>
    <mergeCell ref="J31:J32"/>
    <mergeCell ref="B15:B16"/>
    <mergeCell ref="B17:B18"/>
    <mergeCell ref="B19:B20"/>
    <mergeCell ref="B21:B22"/>
    <mergeCell ref="K25:K26"/>
    <mergeCell ref="K15:K16"/>
    <mergeCell ref="C27:C28"/>
    <mergeCell ref="K13:K14"/>
    <mergeCell ref="K35:K36"/>
    <mergeCell ref="I37:I38"/>
    <mergeCell ref="J37:J38"/>
    <mergeCell ref="K37:K38"/>
    <mergeCell ref="K27:K28"/>
    <mergeCell ref="I29:I30"/>
    <mergeCell ref="I23:I24"/>
    <mergeCell ref="I17:I18"/>
    <mergeCell ref="J17:J18"/>
    <mergeCell ref="K17:K18"/>
    <mergeCell ref="I19:I20"/>
    <mergeCell ref="J19:J20"/>
    <mergeCell ref="K19:K20"/>
    <mergeCell ref="K21:K22"/>
    <mergeCell ref="I15:I16"/>
    <mergeCell ref="J15:J16"/>
    <mergeCell ref="J29:J30"/>
    <mergeCell ref="I39:I40"/>
    <mergeCell ref="J39:J40"/>
    <mergeCell ref="K39:K40"/>
    <mergeCell ref="I33:I34"/>
    <mergeCell ref="J33:J34"/>
    <mergeCell ref="I27:I28"/>
    <mergeCell ref="J27:J28"/>
    <mergeCell ref="I21:I22"/>
    <mergeCell ref="J21:J22"/>
    <mergeCell ref="J23:J24"/>
    <mergeCell ref="K23:K24"/>
    <mergeCell ref="I25:I26"/>
    <mergeCell ref="K31:K32"/>
    <mergeCell ref="K33:K34"/>
    <mergeCell ref="I35:I36"/>
    <mergeCell ref="C4:E4"/>
    <mergeCell ref="I13:I14"/>
    <mergeCell ref="J13:J14"/>
    <mergeCell ref="A35:A36"/>
    <mergeCell ref="C35:C36"/>
    <mergeCell ref="B35:B36"/>
    <mergeCell ref="A23:A24"/>
    <mergeCell ref="C23:C24"/>
    <mergeCell ref="B23:B24"/>
    <mergeCell ref="A15:A16"/>
    <mergeCell ref="C15:C16"/>
    <mergeCell ref="A17:A18"/>
    <mergeCell ref="B25:B26"/>
    <mergeCell ref="B27:B28"/>
    <mergeCell ref="J35:J36"/>
    <mergeCell ref="A33:A34"/>
    <mergeCell ref="C13:C14"/>
    <mergeCell ref="A13:A14"/>
    <mergeCell ref="A27:A28"/>
    <mergeCell ref="A25:A26"/>
    <mergeCell ref="C25:C26"/>
    <mergeCell ref="A29:A30"/>
    <mergeCell ref="C29:C30"/>
    <mergeCell ref="A31:A32"/>
    <mergeCell ref="L11:N12"/>
    <mergeCell ref="A19:A20"/>
    <mergeCell ref="A21:A22"/>
    <mergeCell ref="D10:E10"/>
    <mergeCell ref="J25:J26"/>
    <mergeCell ref="A3:B3"/>
    <mergeCell ref="C3:E3"/>
    <mergeCell ref="A1:O1"/>
    <mergeCell ref="O11:O12"/>
    <mergeCell ref="N10:O10"/>
    <mergeCell ref="F10:G10"/>
    <mergeCell ref="J11:J12"/>
    <mergeCell ref="K11:K12"/>
    <mergeCell ref="G11:G12"/>
    <mergeCell ref="C11:C12"/>
    <mergeCell ref="A11:A12"/>
    <mergeCell ref="L10:M10"/>
    <mergeCell ref="A4:B4"/>
    <mergeCell ref="I11:I12"/>
    <mergeCell ref="B11:B12"/>
    <mergeCell ref="G3:O4"/>
    <mergeCell ref="D11:F12"/>
    <mergeCell ref="A2:B2"/>
    <mergeCell ref="C2:E2"/>
  </mergeCells>
  <phoneticPr fontId="4" type="noConversion"/>
  <conditionalFormatting sqref="G8:G9 O8:O9">
    <cfRule type="cellIs" dxfId="9" priority="1" operator="equal">
      <formula>0</formula>
    </cfRule>
  </conditionalFormatting>
  <printOptions horizontalCentered="1" verticalCentered="1"/>
  <pageMargins left="0" right="0" top="0" bottom="0" header="0" footer="0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7"/>
  <sheetViews>
    <sheetView showGridLines="0" view="pageBreakPreview" zoomScale="50" zoomScaleNormal="45" zoomScaleSheetLayoutView="50" workbookViewId="0">
      <selection activeCell="C8" sqref="C8"/>
    </sheetView>
  </sheetViews>
  <sheetFormatPr defaultRowHeight="15" x14ac:dyDescent="0.25"/>
  <cols>
    <col min="1" max="1" width="35" style="2" bestFit="1" customWidth="1"/>
    <col min="2" max="2" width="35" style="2" customWidth="1"/>
    <col min="3" max="3" width="43.28515625" style="2" bestFit="1" customWidth="1"/>
    <col min="4" max="4" width="41.7109375" style="2" bestFit="1" customWidth="1"/>
    <col min="5" max="5" width="42.42578125" style="2" bestFit="1" customWidth="1"/>
    <col min="6" max="16384" width="9.140625" style="2"/>
  </cols>
  <sheetData>
    <row r="1" spans="1:5" ht="50.1" customHeight="1" x14ac:dyDescent="0.25">
      <c r="A1" s="106" t="s">
        <v>2103</v>
      </c>
      <c r="B1" s="107"/>
      <c r="C1" s="107"/>
      <c r="D1" s="107"/>
      <c r="E1" s="107"/>
    </row>
    <row r="2" spans="1:5" ht="55.5" customHeight="1" x14ac:dyDescent="0.25">
      <c r="A2" s="10" t="s">
        <v>2088</v>
      </c>
      <c r="B2" s="109"/>
      <c r="C2" s="109"/>
      <c r="D2" s="109"/>
      <c r="E2" s="109"/>
    </row>
    <row r="3" spans="1:5" ht="64.5" x14ac:dyDescent="0.25">
      <c r="A3" s="11" t="s">
        <v>18</v>
      </c>
      <c r="B3" s="109"/>
      <c r="C3" s="109"/>
      <c r="D3" s="109"/>
      <c r="E3" s="109"/>
    </row>
    <row r="4" spans="1:5" ht="64.5" x14ac:dyDescent="0.25">
      <c r="A4" s="11" t="s">
        <v>2091</v>
      </c>
      <c r="B4" s="109"/>
      <c r="C4" s="109"/>
      <c r="D4" s="109"/>
      <c r="E4" s="109"/>
    </row>
    <row r="5" spans="1:5" ht="30" customHeight="1" x14ac:dyDescent="0.25">
      <c r="A5" s="9"/>
      <c r="B5" s="9"/>
      <c r="C5" s="9"/>
      <c r="D5" s="9"/>
      <c r="E5" s="22"/>
    </row>
    <row r="6" spans="1:5" ht="39" x14ac:dyDescent="0.25">
      <c r="A6" s="9"/>
      <c r="B6" s="108" t="s">
        <v>2095</v>
      </c>
      <c r="C6" s="108"/>
      <c r="D6" s="108"/>
      <c r="E6" s="108"/>
    </row>
    <row r="7" spans="1:5" s="19" customFormat="1" ht="64.5" x14ac:dyDescent="0.25">
      <c r="A7" s="16" t="s">
        <v>2094</v>
      </c>
      <c r="B7" s="16" t="s">
        <v>2089</v>
      </c>
      <c r="C7" s="16" t="s">
        <v>2090</v>
      </c>
      <c r="D7" s="17" t="s">
        <v>2092</v>
      </c>
      <c r="E7" s="18" t="s">
        <v>2093</v>
      </c>
    </row>
    <row r="8" spans="1:5" ht="30" customHeight="1" x14ac:dyDescent="0.25">
      <c r="A8" s="20">
        <v>1</v>
      </c>
      <c r="B8" s="20"/>
      <c r="C8" s="21"/>
      <c r="D8" s="21"/>
      <c r="E8" s="21"/>
    </row>
    <row r="9" spans="1:5" ht="30" customHeight="1" x14ac:dyDescent="0.25">
      <c r="A9" s="20">
        <v>2</v>
      </c>
      <c r="B9" s="20"/>
      <c r="C9" s="21"/>
      <c r="D9" s="23"/>
      <c r="E9" s="21"/>
    </row>
    <row r="10" spans="1:5" ht="30" customHeight="1" x14ac:dyDescent="0.25">
      <c r="A10" s="20">
        <v>3</v>
      </c>
      <c r="B10" s="20"/>
      <c r="C10" s="21"/>
      <c r="D10" s="21"/>
      <c r="E10" s="21"/>
    </row>
    <row r="11" spans="1:5" ht="30" customHeight="1" x14ac:dyDescent="0.25">
      <c r="A11" s="20">
        <v>4</v>
      </c>
      <c r="B11" s="20"/>
      <c r="C11" s="21"/>
      <c r="D11" s="23"/>
      <c r="E11" s="21"/>
    </row>
    <row r="12" spans="1:5" ht="30" customHeight="1" x14ac:dyDescent="0.25">
      <c r="A12" s="20">
        <v>5</v>
      </c>
      <c r="B12" s="20"/>
      <c r="C12" s="21"/>
      <c r="D12" s="21"/>
      <c r="E12" s="21"/>
    </row>
    <row r="13" spans="1:5" ht="30" customHeight="1" x14ac:dyDescent="0.25">
      <c r="A13" s="20">
        <v>6</v>
      </c>
      <c r="B13" s="20"/>
      <c r="C13" s="21"/>
      <c r="D13" s="23"/>
      <c r="E13" s="21"/>
    </row>
    <row r="14" spans="1:5" ht="30" customHeight="1" x14ac:dyDescent="0.25">
      <c r="A14" s="20">
        <v>7</v>
      </c>
      <c r="B14" s="20"/>
      <c r="C14" s="21"/>
      <c r="D14" s="21"/>
      <c r="E14" s="21"/>
    </row>
    <row r="15" spans="1:5" ht="30" customHeight="1" x14ac:dyDescent="0.25">
      <c r="A15" s="20">
        <v>8</v>
      </c>
      <c r="B15" s="20"/>
      <c r="C15" s="21"/>
      <c r="D15" s="23"/>
      <c r="E15" s="21"/>
    </row>
    <row r="16" spans="1:5" ht="30" customHeight="1" x14ac:dyDescent="0.25">
      <c r="A16" s="20">
        <v>9</v>
      </c>
      <c r="B16" s="20"/>
      <c r="C16" s="21"/>
      <c r="D16" s="21"/>
      <c r="E16" s="21"/>
    </row>
    <row r="17" spans="1:5" ht="30" customHeight="1" x14ac:dyDescent="0.25">
      <c r="A17" s="20">
        <v>10</v>
      </c>
      <c r="B17" s="20"/>
      <c r="C17" s="21"/>
      <c r="D17" s="23"/>
      <c r="E17" s="21"/>
    </row>
    <row r="18" spans="1:5" ht="30" customHeight="1" x14ac:dyDescent="0.25">
      <c r="A18" s="20">
        <v>11</v>
      </c>
      <c r="B18" s="20"/>
      <c r="C18" s="21"/>
      <c r="D18" s="21"/>
      <c r="E18" s="21"/>
    </row>
    <row r="19" spans="1:5" ht="30" customHeight="1" x14ac:dyDescent="0.25">
      <c r="A19" s="20">
        <v>12</v>
      </c>
      <c r="B19" s="20"/>
      <c r="C19" s="21"/>
      <c r="D19" s="23"/>
      <c r="E19" s="21"/>
    </row>
    <row r="20" spans="1:5" ht="30" customHeight="1" x14ac:dyDescent="0.25">
      <c r="A20" s="20">
        <v>13</v>
      </c>
      <c r="B20" s="20"/>
      <c r="C20" s="21"/>
      <c r="D20" s="21"/>
      <c r="E20" s="21"/>
    </row>
    <row r="21" spans="1:5" ht="30" customHeight="1" x14ac:dyDescent="0.25">
      <c r="A21" s="20">
        <v>14</v>
      </c>
      <c r="B21" s="20"/>
      <c r="C21" s="23"/>
      <c r="D21" s="23"/>
      <c r="E21" s="21"/>
    </row>
    <row r="22" spans="1:5" ht="30" customHeight="1" x14ac:dyDescent="0.25">
      <c r="A22" s="20">
        <v>15</v>
      </c>
      <c r="B22" s="20"/>
      <c r="C22" s="21"/>
      <c r="D22" s="21"/>
      <c r="E22" s="21"/>
    </row>
    <row r="23" spans="1:5" ht="30" customHeight="1" x14ac:dyDescent="0.25">
      <c r="A23" s="20">
        <v>16</v>
      </c>
      <c r="B23" s="20"/>
      <c r="C23" s="21"/>
      <c r="D23" s="23"/>
      <c r="E23" s="21"/>
    </row>
    <row r="24" spans="1:5" ht="30" customHeight="1" x14ac:dyDescent="0.25">
      <c r="A24" s="20">
        <v>17</v>
      </c>
      <c r="B24" s="20"/>
      <c r="C24" s="21"/>
      <c r="D24" s="21"/>
      <c r="E24" s="21"/>
    </row>
    <row r="25" spans="1:5" ht="30" customHeight="1" x14ac:dyDescent="0.25">
      <c r="A25" s="20">
        <v>18</v>
      </c>
      <c r="B25" s="20"/>
      <c r="C25" s="21"/>
      <c r="D25" s="23"/>
      <c r="E25" s="21"/>
    </row>
    <row r="26" spans="1:5" ht="30" customHeight="1" x14ac:dyDescent="0.25">
      <c r="A26" s="20">
        <v>19</v>
      </c>
      <c r="B26" s="20"/>
      <c r="C26" s="21"/>
      <c r="D26" s="21"/>
      <c r="E26" s="21"/>
    </row>
    <row r="27" spans="1:5" ht="30" customHeight="1" x14ac:dyDescent="0.25">
      <c r="A27" s="20">
        <v>20</v>
      </c>
      <c r="B27" s="20"/>
      <c r="C27" s="21"/>
      <c r="D27" s="23"/>
      <c r="E27" s="21"/>
    </row>
    <row r="28" spans="1:5" ht="30" customHeight="1" x14ac:dyDescent="0.25">
      <c r="A28" s="20">
        <v>21</v>
      </c>
      <c r="B28" s="20"/>
      <c r="C28" s="21"/>
      <c r="D28" s="21"/>
      <c r="E28" s="21"/>
    </row>
    <row r="29" spans="1:5" ht="30" customHeight="1" x14ac:dyDescent="0.25">
      <c r="A29" s="20">
        <v>22</v>
      </c>
      <c r="B29" s="20"/>
      <c r="C29" s="21"/>
      <c r="D29" s="23"/>
      <c r="E29" s="21"/>
    </row>
    <row r="30" spans="1:5" ht="30" customHeight="1" x14ac:dyDescent="0.25">
      <c r="A30" s="20">
        <v>23</v>
      </c>
      <c r="B30" s="20"/>
      <c r="C30" s="21"/>
      <c r="D30" s="21"/>
      <c r="E30" s="21"/>
    </row>
    <row r="31" spans="1:5" ht="30" customHeight="1" x14ac:dyDescent="0.25">
      <c r="A31" s="20">
        <v>24</v>
      </c>
      <c r="B31" s="20"/>
      <c r="C31" s="21"/>
      <c r="D31" s="23"/>
      <c r="E31" s="21"/>
    </row>
    <row r="32" spans="1:5" ht="30" customHeight="1" x14ac:dyDescent="0.25">
      <c r="A32" s="20">
        <v>25</v>
      </c>
      <c r="B32" s="20"/>
      <c r="C32" s="21"/>
      <c r="D32" s="21"/>
      <c r="E32" s="21"/>
    </row>
    <row r="33" spans="1:5" ht="30" customHeight="1" x14ac:dyDescent="0.25">
      <c r="A33" s="20">
        <v>26</v>
      </c>
      <c r="B33" s="20"/>
      <c r="C33" s="21"/>
      <c r="D33" s="23"/>
      <c r="E33" s="21"/>
    </row>
    <row r="34" spans="1:5" ht="30" customHeight="1" x14ac:dyDescent="0.25">
      <c r="A34" s="20">
        <v>27</v>
      </c>
      <c r="B34" s="20"/>
      <c r="C34" s="21"/>
      <c r="D34" s="21"/>
      <c r="E34" s="21"/>
    </row>
    <row r="35" spans="1:5" ht="30" customHeight="1" x14ac:dyDescent="0.25">
      <c r="A35" s="20">
        <v>28</v>
      </c>
      <c r="B35" s="20"/>
      <c r="C35" s="21"/>
      <c r="D35" s="23"/>
      <c r="E35" s="21"/>
    </row>
    <row r="36" spans="1:5" ht="30" customHeight="1" x14ac:dyDescent="0.25">
      <c r="A36" s="20">
        <v>29</v>
      </c>
      <c r="B36" s="20"/>
      <c r="C36" s="21"/>
      <c r="D36" s="21"/>
      <c r="E36" s="21"/>
    </row>
    <row r="37" spans="1:5" ht="30" customHeight="1" x14ac:dyDescent="0.25">
      <c r="A37" s="20">
        <v>30</v>
      </c>
      <c r="B37" s="20"/>
      <c r="C37" s="21"/>
      <c r="D37" s="23"/>
      <c r="E37" s="21"/>
    </row>
    <row r="38" spans="1:5" ht="30" customHeight="1" x14ac:dyDescent="0.25">
      <c r="A38" s="20">
        <v>31</v>
      </c>
      <c r="B38" s="20"/>
      <c r="C38" s="21"/>
      <c r="D38" s="21"/>
      <c r="E38" s="21"/>
    </row>
    <row r="39" spans="1:5" ht="30" customHeight="1" x14ac:dyDescent="0.25">
      <c r="A39" s="20">
        <v>32</v>
      </c>
      <c r="B39" s="20"/>
      <c r="C39" s="21"/>
      <c r="D39" s="23"/>
      <c r="E39" s="21"/>
    </row>
    <row r="40" spans="1:5" ht="30" customHeight="1" x14ac:dyDescent="0.25">
      <c r="A40" s="20">
        <v>33</v>
      </c>
      <c r="B40" s="20"/>
      <c r="C40" s="21"/>
      <c r="D40" s="21"/>
      <c r="E40" s="21"/>
    </row>
    <row r="41" spans="1:5" ht="30" customHeight="1" x14ac:dyDescent="0.25">
      <c r="A41" s="20">
        <v>34</v>
      </c>
      <c r="B41" s="20"/>
      <c r="C41" s="21"/>
      <c r="D41" s="23"/>
      <c r="E41" s="21"/>
    </row>
    <row r="42" spans="1:5" ht="30" customHeight="1" x14ac:dyDescent="0.25">
      <c r="A42" s="20">
        <v>35</v>
      </c>
      <c r="B42" s="20"/>
      <c r="C42" s="21"/>
      <c r="D42" s="21"/>
      <c r="E42" s="21"/>
    </row>
    <row r="43" spans="1:5" ht="30" customHeight="1" x14ac:dyDescent="0.25">
      <c r="A43" s="20">
        <v>36</v>
      </c>
      <c r="B43" s="20"/>
      <c r="C43" s="21"/>
      <c r="D43" s="23"/>
      <c r="E43" s="21"/>
    </row>
    <row r="44" spans="1:5" ht="30" customHeight="1" x14ac:dyDescent="0.25">
      <c r="A44" s="20">
        <v>37</v>
      </c>
      <c r="B44" s="20"/>
      <c r="C44" s="21"/>
      <c r="D44" s="21"/>
      <c r="E44" s="21"/>
    </row>
    <row r="45" spans="1:5" ht="30" customHeight="1" x14ac:dyDescent="0.25">
      <c r="A45" s="20">
        <v>38</v>
      </c>
      <c r="B45" s="20"/>
      <c r="C45" s="21"/>
      <c r="D45" s="23"/>
      <c r="E45" s="21"/>
    </row>
    <row r="46" spans="1:5" ht="30" customHeight="1" x14ac:dyDescent="0.25">
      <c r="A46" s="20">
        <v>39</v>
      </c>
      <c r="B46" s="20"/>
      <c r="C46" s="21"/>
      <c r="D46" s="21"/>
      <c r="E46" s="21"/>
    </row>
    <row r="47" spans="1:5" ht="30" customHeight="1" x14ac:dyDescent="0.25">
      <c r="A47" s="20">
        <v>40</v>
      </c>
      <c r="B47" s="20"/>
      <c r="C47" s="21"/>
      <c r="D47" s="23"/>
      <c r="E47" s="21"/>
    </row>
    <row r="48" spans="1:5" ht="30" customHeight="1" x14ac:dyDescent="0.25">
      <c r="A48" s="20">
        <v>41</v>
      </c>
      <c r="B48" s="20"/>
      <c r="C48" s="21"/>
      <c r="D48" s="21"/>
      <c r="E48" s="21"/>
    </row>
    <row r="49" spans="1:5" ht="30" customHeight="1" x14ac:dyDescent="0.25">
      <c r="A49" s="20">
        <v>42</v>
      </c>
      <c r="B49" s="20"/>
      <c r="C49" s="21"/>
      <c r="D49" s="23"/>
      <c r="E49" s="21"/>
    </row>
    <row r="50" spans="1:5" ht="30" customHeight="1" x14ac:dyDescent="0.25">
      <c r="A50" s="20">
        <v>43</v>
      </c>
      <c r="B50" s="20"/>
      <c r="C50" s="21"/>
      <c r="D50" s="21"/>
      <c r="E50" s="21"/>
    </row>
    <row r="51" spans="1:5" ht="30" customHeight="1" x14ac:dyDescent="0.25">
      <c r="A51" s="20">
        <v>44</v>
      </c>
      <c r="B51" s="20"/>
      <c r="C51" s="21"/>
      <c r="D51" s="23"/>
      <c r="E51" s="21"/>
    </row>
    <row r="52" spans="1:5" ht="30" customHeight="1" x14ac:dyDescent="0.25">
      <c r="A52" s="20">
        <v>45</v>
      </c>
      <c r="B52" s="20"/>
      <c r="C52" s="21"/>
      <c r="D52" s="21"/>
      <c r="E52" s="21"/>
    </row>
    <row r="53" spans="1:5" ht="30" customHeight="1" x14ac:dyDescent="0.25">
      <c r="A53" s="20">
        <v>46</v>
      </c>
      <c r="B53" s="20"/>
      <c r="C53" s="21"/>
      <c r="D53" s="23"/>
      <c r="E53" s="21"/>
    </row>
    <row r="54" spans="1:5" ht="30" customHeight="1" x14ac:dyDescent="0.25">
      <c r="A54" s="20">
        <v>47</v>
      </c>
      <c r="B54" s="20"/>
      <c r="C54" s="21"/>
      <c r="D54" s="21"/>
      <c r="E54" s="21"/>
    </row>
    <row r="55" spans="1:5" ht="30" customHeight="1" x14ac:dyDescent="0.25">
      <c r="A55" s="20">
        <v>48</v>
      </c>
      <c r="B55" s="20"/>
      <c r="C55" s="21"/>
      <c r="D55" s="23"/>
      <c r="E55" s="21"/>
    </row>
    <row r="56" spans="1:5" ht="30" customHeight="1" x14ac:dyDescent="0.25">
      <c r="A56" s="20">
        <v>49</v>
      </c>
      <c r="B56" s="20"/>
      <c r="C56" s="21"/>
      <c r="D56" s="21"/>
      <c r="E56" s="21"/>
    </row>
    <row r="57" spans="1:5" ht="30" customHeight="1" x14ac:dyDescent="0.25">
      <c r="A57" s="20">
        <v>50</v>
      </c>
      <c r="B57" s="20"/>
      <c r="C57" s="21"/>
      <c r="D57" s="23"/>
      <c r="E57" s="21"/>
    </row>
  </sheetData>
  <mergeCells count="5">
    <mergeCell ref="A1:E1"/>
    <mergeCell ref="B6:E6"/>
    <mergeCell ref="B4:E4"/>
    <mergeCell ref="B3:E3"/>
    <mergeCell ref="B2:E2"/>
  </mergeCells>
  <conditionalFormatting sqref="E8:E57">
    <cfRule type="cellIs" dxfId="8" priority="1" operator="equal">
      <formula>"YASAKLA"</formula>
    </cfRule>
    <cfRule type="cellIs" dxfId="7" priority="2" operator="equal">
      <formula>"YASAKLAMA"</formula>
    </cfRule>
  </conditionalFormatting>
  <printOptions horizontalCentered="1" verticalCentered="1"/>
  <pageMargins left="0" right="0" top="0" bottom="0" header="0.31496062992125984" footer="0.31496062992125984"/>
  <pageSetup paperSize="9" scale="46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'DURAK İSİMLERİ'!$J$1:$J$2</xm:f>
          </x14:formula1>
          <xm:sqref>E8:E57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2"/>
  <sheetViews>
    <sheetView topLeftCell="C1" workbookViewId="0">
      <selection activeCell="J3" sqref="J3"/>
    </sheetView>
  </sheetViews>
  <sheetFormatPr defaultRowHeight="15" x14ac:dyDescent="0.25"/>
  <cols>
    <col min="1" max="1" width="9.42578125" hidden="1" customWidth="1"/>
    <col min="2" max="2" width="37.28515625" hidden="1" customWidth="1"/>
    <col min="3" max="3" width="37.28515625" bestFit="1" customWidth="1"/>
    <col min="4" max="4" width="9.42578125" bestFit="1" customWidth="1"/>
    <col min="5" max="6" width="12" customWidth="1"/>
    <col min="7" max="7" width="34.5703125" bestFit="1" customWidth="1"/>
  </cols>
  <sheetData>
    <row r="1" spans="1:10" x14ac:dyDescent="0.25">
      <c r="A1" s="6" t="s">
        <v>19</v>
      </c>
      <c r="B1" s="6" t="s">
        <v>20</v>
      </c>
      <c r="C1" s="6" t="s">
        <v>20</v>
      </c>
      <c r="D1" s="6" t="s">
        <v>19</v>
      </c>
      <c r="E1" s="6" t="s">
        <v>21</v>
      </c>
      <c r="F1" s="6" t="s">
        <v>22</v>
      </c>
      <c r="G1" s="6" t="s">
        <v>23</v>
      </c>
      <c r="J1" s="6" t="s">
        <v>2101</v>
      </c>
    </row>
    <row r="2" spans="1:10" x14ac:dyDescent="0.25">
      <c r="A2" t="s">
        <v>16</v>
      </c>
      <c r="B2" t="s">
        <v>24</v>
      </c>
      <c r="C2" t="s">
        <v>1568</v>
      </c>
      <c r="D2" t="s">
        <v>1567</v>
      </c>
      <c r="E2">
        <v>38.029530000000001</v>
      </c>
      <c r="F2">
        <v>27.080819999999999</v>
      </c>
      <c r="G2" t="str">
        <f t="shared" ref="G2:G65" si="0">CONCATENATE(E2," - ",F2)</f>
        <v>38,02953 - 27,08082</v>
      </c>
      <c r="J2" t="s">
        <v>2102</v>
      </c>
    </row>
    <row r="3" spans="1:10" x14ac:dyDescent="0.25">
      <c r="A3" t="s">
        <v>15</v>
      </c>
      <c r="B3" t="s">
        <v>25</v>
      </c>
      <c r="C3" t="s">
        <v>2004</v>
      </c>
      <c r="D3" t="s">
        <v>1015</v>
      </c>
      <c r="E3">
        <v>41.520319999999998</v>
      </c>
      <c r="F3">
        <v>32.556159999999998</v>
      </c>
      <c r="G3" t="str">
        <f t="shared" si="0"/>
        <v>41,52032 - 32,55616</v>
      </c>
    </row>
    <row r="4" spans="1:10" x14ac:dyDescent="0.25">
      <c r="A4" t="s">
        <v>14</v>
      </c>
      <c r="B4" t="s">
        <v>26</v>
      </c>
      <c r="C4" t="s">
        <v>1756</v>
      </c>
      <c r="D4" t="s">
        <v>155</v>
      </c>
      <c r="E4">
        <v>38.549227999999999</v>
      </c>
      <c r="F4">
        <v>34.504216</v>
      </c>
      <c r="G4" t="str">
        <f t="shared" si="0"/>
        <v>38,549228 - 34,504216</v>
      </c>
    </row>
    <row r="5" spans="1:10" x14ac:dyDescent="0.25">
      <c r="A5" t="s">
        <v>7</v>
      </c>
      <c r="B5" t="s">
        <v>27</v>
      </c>
      <c r="C5" t="s">
        <v>1968</v>
      </c>
      <c r="D5" t="s">
        <v>799</v>
      </c>
      <c r="E5">
        <v>37.428708999999998</v>
      </c>
      <c r="F5">
        <v>29.352136999999999</v>
      </c>
      <c r="G5" t="str">
        <f t="shared" si="0"/>
        <v>37,428709 - 29,352137</v>
      </c>
    </row>
    <row r="6" spans="1:10" x14ac:dyDescent="0.25">
      <c r="A6" t="s">
        <v>28</v>
      </c>
      <c r="B6" t="s">
        <v>29</v>
      </c>
      <c r="C6" t="s">
        <v>1134</v>
      </c>
      <c r="D6" t="s">
        <v>1133</v>
      </c>
      <c r="E6">
        <v>37.784649999999999</v>
      </c>
      <c r="F6">
        <v>29.091100000000001</v>
      </c>
      <c r="G6" t="str">
        <f t="shared" si="0"/>
        <v>37,78465 - 29,0911</v>
      </c>
    </row>
    <row r="7" spans="1:10" x14ac:dyDescent="0.25">
      <c r="A7" t="s">
        <v>13</v>
      </c>
      <c r="B7" t="s">
        <v>30</v>
      </c>
      <c r="C7" t="s">
        <v>614</v>
      </c>
      <c r="D7" t="s">
        <v>612</v>
      </c>
      <c r="E7">
        <v>38.523491999999997</v>
      </c>
      <c r="F7">
        <v>30.220351999999998</v>
      </c>
      <c r="G7" t="str">
        <f t="shared" si="0"/>
        <v>38,523492 - 30,220352</v>
      </c>
    </row>
    <row r="8" spans="1:10" x14ac:dyDescent="0.25">
      <c r="A8" t="s">
        <v>31</v>
      </c>
      <c r="B8" t="s">
        <v>32</v>
      </c>
      <c r="C8" t="s">
        <v>1762</v>
      </c>
      <c r="D8" t="s">
        <v>167</v>
      </c>
      <c r="E8">
        <v>36.997043317100001</v>
      </c>
      <c r="F8">
        <v>35.262125055200002</v>
      </c>
      <c r="G8" t="str">
        <f t="shared" si="0"/>
        <v>36,9970433171 - 35,2621250552</v>
      </c>
    </row>
    <row r="9" spans="1:10" x14ac:dyDescent="0.25">
      <c r="A9" t="s">
        <v>33</v>
      </c>
      <c r="B9" t="s">
        <v>34</v>
      </c>
      <c r="C9" t="s">
        <v>1354</v>
      </c>
      <c r="D9" t="s">
        <v>1353</v>
      </c>
      <c r="E9">
        <v>37.950322999999997</v>
      </c>
      <c r="F9">
        <v>32.509435000000003</v>
      </c>
      <c r="G9" t="str">
        <f t="shared" si="0"/>
        <v>37,950323 - 32,509435</v>
      </c>
    </row>
    <row r="10" spans="1:10" x14ac:dyDescent="0.25">
      <c r="A10" t="s">
        <v>35</v>
      </c>
      <c r="B10" t="s">
        <v>36</v>
      </c>
      <c r="C10" t="s">
        <v>1340</v>
      </c>
      <c r="D10" t="s">
        <v>1339</v>
      </c>
      <c r="E10">
        <v>36.363807000000001</v>
      </c>
      <c r="F10">
        <v>30.303591999999998</v>
      </c>
      <c r="G10" t="str">
        <f t="shared" si="0"/>
        <v>36,363807 - 30,303592</v>
      </c>
    </row>
    <row r="11" spans="1:10" x14ac:dyDescent="0.25">
      <c r="A11" t="s">
        <v>37</v>
      </c>
      <c r="B11" t="s">
        <v>38</v>
      </c>
      <c r="C11" t="s">
        <v>1764</v>
      </c>
      <c r="D11" t="s">
        <v>171</v>
      </c>
      <c r="E11">
        <v>38.790436</v>
      </c>
      <c r="F11">
        <v>30.510663999999998</v>
      </c>
      <c r="G11" t="str">
        <f t="shared" si="0"/>
        <v>38,790436 - 30,510664</v>
      </c>
    </row>
    <row r="12" spans="1:10" x14ac:dyDescent="0.25">
      <c r="A12" t="s">
        <v>39</v>
      </c>
      <c r="B12" t="s">
        <v>1701</v>
      </c>
      <c r="C12" t="s">
        <v>659</v>
      </c>
      <c r="D12" t="s">
        <v>657</v>
      </c>
      <c r="E12">
        <v>38.790436</v>
      </c>
      <c r="F12">
        <v>30.510663999999998</v>
      </c>
      <c r="G12" t="str">
        <f t="shared" si="0"/>
        <v>38,790436 - 30,510664</v>
      </c>
    </row>
    <row r="13" spans="1:10" x14ac:dyDescent="0.25">
      <c r="A13" t="s">
        <v>11</v>
      </c>
      <c r="B13" t="s">
        <v>40</v>
      </c>
      <c r="C13" t="s">
        <v>1080</v>
      </c>
      <c r="D13" t="s">
        <v>1079</v>
      </c>
      <c r="E13">
        <v>38.358341000000003</v>
      </c>
      <c r="F13">
        <v>33.983652999999997</v>
      </c>
      <c r="G13" t="str">
        <f t="shared" si="0"/>
        <v>38,358341 - 33,983653</v>
      </c>
    </row>
    <row r="14" spans="1:10" x14ac:dyDescent="0.25">
      <c r="A14" t="s">
        <v>9</v>
      </c>
      <c r="B14" t="s">
        <v>41</v>
      </c>
      <c r="C14" t="s">
        <v>1507</v>
      </c>
      <c r="D14" t="s">
        <v>1505</v>
      </c>
      <c r="E14">
        <v>38.386174896438057</v>
      </c>
      <c r="F14">
        <v>33.99391808237057</v>
      </c>
      <c r="G14" t="str">
        <f t="shared" si="0"/>
        <v>38,3861748964381 - 33,9939180823706</v>
      </c>
    </row>
    <row r="15" spans="1:10" x14ac:dyDescent="0.25">
      <c r="A15" t="s">
        <v>8</v>
      </c>
      <c r="B15" t="s">
        <v>42</v>
      </c>
      <c r="C15" t="s">
        <v>1526</v>
      </c>
      <c r="D15" t="s">
        <v>1524</v>
      </c>
      <c r="E15">
        <v>36.649446099999999</v>
      </c>
      <c r="F15">
        <v>30.945973200000001</v>
      </c>
      <c r="G15" t="str">
        <f t="shared" si="0"/>
        <v>36,6494461 - 30,9459732</v>
      </c>
    </row>
    <row r="16" spans="1:10" x14ac:dyDescent="0.25">
      <c r="A16" t="s">
        <v>43</v>
      </c>
      <c r="B16" t="s">
        <v>44</v>
      </c>
      <c r="C16" t="s">
        <v>1765</v>
      </c>
      <c r="D16" t="s">
        <v>173</v>
      </c>
      <c r="E16">
        <v>39.713645</v>
      </c>
      <c r="F16">
        <v>43.003363999999998</v>
      </c>
      <c r="G16" t="str">
        <f t="shared" si="0"/>
        <v>39,713645 - 43,003364</v>
      </c>
    </row>
    <row r="17" spans="1:7" x14ac:dyDescent="0.25">
      <c r="A17" t="s">
        <v>45</v>
      </c>
      <c r="B17" t="s">
        <v>46</v>
      </c>
      <c r="C17" t="s">
        <v>1969</v>
      </c>
      <c r="D17" t="s">
        <v>807</v>
      </c>
      <c r="E17">
        <v>38.754282000000003</v>
      </c>
      <c r="F17">
        <v>42.483255999999997</v>
      </c>
      <c r="G17" t="str">
        <f t="shared" si="0"/>
        <v>38,754282 - 42,483256</v>
      </c>
    </row>
    <row r="18" spans="1:7" x14ac:dyDescent="0.25">
      <c r="A18" t="s">
        <v>47</v>
      </c>
      <c r="B18" t="s">
        <v>48</v>
      </c>
      <c r="C18" t="s">
        <v>644</v>
      </c>
      <c r="D18" t="s">
        <v>642</v>
      </c>
      <c r="E18">
        <v>40.907136000000001</v>
      </c>
      <c r="F18">
        <v>33.646188000000002</v>
      </c>
      <c r="G18" t="str">
        <f t="shared" si="0"/>
        <v>40,907136 - 33,646188</v>
      </c>
    </row>
    <row r="19" spans="1:7" x14ac:dyDescent="0.25">
      <c r="A19" t="s">
        <v>49</v>
      </c>
      <c r="B19" t="s">
        <v>50</v>
      </c>
      <c r="C19" t="s">
        <v>1775</v>
      </c>
      <c r="D19" t="s">
        <v>195</v>
      </c>
      <c r="E19">
        <v>41.024706000000002</v>
      </c>
      <c r="F19">
        <v>39.567507999999997</v>
      </c>
      <c r="G19" t="str">
        <f t="shared" si="0"/>
        <v>41,024706 - 39,567508</v>
      </c>
    </row>
    <row r="20" spans="1:7" x14ac:dyDescent="0.25">
      <c r="A20" t="s">
        <v>51</v>
      </c>
      <c r="B20" t="s">
        <v>52</v>
      </c>
      <c r="C20" t="s">
        <v>1869</v>
      </c>
      <c r="D20" t="s">
        <v>399</v>
      </c>
      <c r="E20">
        <v>41.086238999999999</v>
      </c>
      <c r="F20">
        <v>31.175250999999999</v>
      </c>
      <c r="G20" t="str">
        <f t="shared" si="0"/>
        <v>41,086239 - 31,175251</v>
      </c>
    </row>
    <row r="21" spans="1:7" x14ac:dyDescent="0.25">
      <c r="A21" t="s">
        <v>53</v>
      </c>
      <c r="B21" t="s">
        <v>54</v>
      </c>
      <c r="C21" t="s">
        <v>1870</v>
      </c>
      <c r="D21" t="s">
        <v>401</v>
      </c>
      <c r="E21">
        <v>39.588799000000002</v>
      </c>
      <c r="F21">
        <v>26.928429000000001</v>
      </c>
      <c r="G21" t="str">
        <f t="shared" si="0"/>
        <v>39,588799 - 26,928429</v>
      </c>
    </row>
    <row r="22" spans="1:7" x14ac:dyDescent="0.25">
      <c r="A22" t="s">
        <v>55</v>
      </c>
      <c r="B22" t="s">
        <v>56</v>
      </c>
      <c r="C22" t="s">
        <v>1871</v>
      </c>
      <c r="D22" t="s">
        <v>403</v>
      </c>
      <c r="E22">
        <v>39.672640000000001</v>
      </c>
      <c r="F22">
        <v>35.869857000000003</v>
      </c>
      <c r="G22" t="str">
        <f t="shared" si="0"/>
        <v>39,67264 - 35,869857</v>
      </c>
    </row>
    <row r="23" spans="1:7" x14ac:dyDescent="0.25">
      <c r="A23" t="s">
        <v>57</v>
      </c>
      <c r="B23" t="s">
        <v>58</v>
      </c>
      <c r="C23" t="s">
        <v>1280</v>
      </c>
      <c r="D23" t="s">
        <v>1279</v>
      </c>
      <c r="E23">
        <v>41.196451000000003</v>
      </c>
      <c r="F23">
        <v>32.625377</v>
      </c>
      <c r="G23" t="str">
        <f t="shared" si="0"/>
        <v>41,196451 - 32,625377</v>
      </c>
    </row>
    <row r="24" spans="1:7" x14ac:dyDescent="0.25">
      <c r="A24" t="s">
        <v>59</v>
      </c>
      <c r="B24" t="s">
        <v>60</v>
      </c>
      <c r="C24" t="s">
        <v>1784</v>
      </c>
      <c r="D24" t="s">
        <v>213</v>
      </c>
      <c r="E24">
        <v>38.934013534999998</v>
      </c>
      <c r="F24">
        <v>27.8356891078</v>
      </c>
      <c r="G24" t="str">
        <f t="shared" si="0"/>
        <v>38,934013535 - 27,8356891078</v>
      </c>
    </row>
    <row r="25" spans="1:7" x14ac:dyDescent="0.25">
      <c r="A25" t="s">
        <v>61</v>
      </c>
      <c r="B25" t="s">
        <v>62</v>
      </c>
      <c r="C25" t="s">
        <v>38</v>
      </c>
      <c r="D25" t="s">
        <v>37</v>
      </c>
      <c r="E25">
        <v>38.934313000000003</v>
      </c>
      <c r="F25">
        <v>27.835243999999999</v>
      </c>
      <c r="G25" t="str">
        <f t="shared" si="0"/>
        <v>38,934313 - 27,835244</v>
      </c>
    </row>
    <row r="26" spans="1:7" x14ac:dyDescent="0.25">
      <c r="A26" t="s">
        <v>63</v>
      </c>
      <c r="B26" t="s">
        <v>64</v>
      </c>
      <c r="C26" t="s">
        <v>994</v>
      </c>
      <c r="D26" t="s">
        <v>992</v>
      </c>
      <c r="E26">
        <v>39.279420999999999</v>
      </c>
      <c r="F26">
        <v>26.704820000000002</v>
      </c>
      <c r="G26" t="str">
        <f t="shared" si="0"/>
        <v>39,279421 - 26,70482</v>
      </c>
    </row>
    <row r="27" spans="1:7" x14ac:dyDescent="0.25">
      <c r="A27" t="s">
        <v>65</v>
      </c>
      <c r="B27" t="s">
        <v>66</v>
      </c>
      <c r="C27" t="s">
        <v>1316</v>
      </c>
      <c r="D27" t="s">
        <v>1315</v>
      </c>
      <c r="E27">
        <v>39.170558</v>
      </c>
      <c r="F27">
        <v>34.149225000000001</v>
      </c>
      <c r="G27" t="str">
        <f t="shared" si="0"/>
        <v>39,170558 - 34,149225</v>
      </c>
    </row>
    <row r="28" spans="1:7" x14ac:dyDescent="0.25">
      <c r="A28" t="s">
        <v>67</v>
      </c>
      <c r="B28" t="s">
        <v>68</v>
      </c>
      <c r="C28" t="s">
        <v>1740</v>
      </c>
      <c r="D28" t="s">
        <v>108</v>
      </c>
      <c r="E28">
        <v>38.358341000000003</v>
      </c>
      <c r="F28">
        <v>33.983652999999997</v>
      </c>
      <c r="G28" t="str">
        <f t="shared" si="0"/>
        <v>38,358341 - 33,983653</v>
      </c>
    </row>
    <row r="29" spans="1:7" x14ac:dyDescent="0.25">
      <c r="A29" t="s">
        <v>69</v>
      </c>
      <c r="B29" t="s">
        <v>70</v>
      </c>
      <c r="C29" t="s">
        <v>1786</v>
      </c>
      <c r="D29" t="s">
        <v>217</v>
      </c>
      <c r="E29">
        <v>38.361021999999998</v>
      </c>
      <c r="F29">
        <v>31.450039</v>
      </c>
      <c r="G29" t="str">
        <f t="shared" si="0"/>
        <v>38,361022 - 31,450039</v>
      </c>
    </row>
    <row r="30" spans="1:7" x14ac:dyDescent="0.25">
      <c r="A30" t="s">
        <v>71</v>
      </c>
      <c r="B30" t="s">
        <v>72</v>
      </c>
      <c r="C30" t="s">
        <v>705</v>
      </c>
      <c r="D30" t="s">
        <v>703</v>
      </c>
      <c r="E30">
        <v>38.720947000000002</v>
      </c>
      <c r="F30">
        <v>37.275773999999998</v>
      </c>
      <c r="G30" t="str">
        <f t="shared" si="0"/>
        <v>38,720947 - 37,275774</v>
      </c>
    </row>
    <row r="31" spans="1:7" x14ac:dyDescent="0.25">
      <c r="A31" t="s">
        <v>73</v>
      </c>
      <c r="B31" t="s">
        <v>74</v>
      </c>
      <c r="C31" t="s">
        <v>1679</v>
      </c>
      <c r="D31" t="s">
        <v>1678</v>
      </c>
      <c r="E31">
        <v>37.049990000000001</v>
      </c>
      <c r="F31">
        <v>28.356895000000002</v>
      </c>
      <c r="G31" t="str">
        <f t="shared" si="0"/>
        <v>37,04999 - 28,356895</v>
      </c>
    </row>
    <row r="32" spans="1:7" x14ac:dyDescent="0.25">
      <c r="A32" t="s">
        <v>75</v>
      </c>
      <c r="B32" t="s">
        <v>76</v>
      </c>
      <c r="C32" t="s">
        <v>774</v>
      </c>
      <c r="D32" t="s">
        <v>773</v>
      </c>
      <c r="E32">
        <v>37.051307999999999</v>
      </c>
      <c r="F32">
        <v>28.35577</v>
      </c>
      <c r="G32" t="str">
        <f t="shared" si="0"/>
        <v>37,051308 - 28,35577</v>
      </c>
    </row>
    <row r="33" spans="1:7" x14ac:dyDescent="0.25">
      <c r="A33" t="s">
        <v>77</v>
      </c>
      <c r="B33" t="s">
        <v>78</v>
      </c>
      <c r="C33" t="s">
        <v>1995</v>
      </c>
      <c r="D33" t="s">
        <v>995</v>
      </c>
      <c r="E33">
        <v>40.681201999999999</v>
      </c>
      <c r="F33">
        <v>30.624511999999999</v>
      </c>
      <c r="G33" t="str">
        <f t="shared" si="0"/>
        <v>40,681202 - 30,624512</v>
      </c>
    </row>
    <row r="34" spans="1:7" x14ac:dyDescent="0.25">
      <c r="A34" t="s">
        <v>79</v>
      </c>
      <c r="B34" t="s">
        <v>80</v>
      </c>
      <c r="C34" t="s">
        <v>1899</v>
      </c>
      <c r="D34" t="s">
        <v>462</v>
      </c>
      <c r="E34">
        <v>40.168644</v>
      </c>
      <c r="F34">
        <v>34.839672999999998</v>
      </c>
      <c r="G34" t="str">
        <f t="shared" si="0"/>
        <v>40,168644 - 34,839673</v>
      </c>
    </row>
    <row r="35" spans="1:7" x14ac:dyDescent="0.25">
      <c r="A35" t="s">
        <v>81</v>
      </c>
      <c r="B35" t="s">
        <v>82</v>
      </c>
      <c r="C35" t="s">
        <v>1900</v>
      </c>
      <c r="D35" t="s">
        <v>464</v>
      </c>
      <c r="E35">
        <v>41.607768</v>
      </c>
      <c r="F35">
        <v>35.597093000000001</v>
      </c>
      <c r="G35" t="str">
        <f t="shared" si="0"/>
        <v>41,607768 - 35,597093</v>
      </c>
    </row>
    <row r="36" spans="1:7" x14ac:dyDescent="0.25">
      <c r="A36" t="s">
        <v>83</v>
      </c>
      <c r="B36" t="s">
        <v>1700</v>
      </c>
      <c r="C36" t="s">
        <v>1727</v>
      </c>
      <c r="D36" t="s">
        <v>63</v>
      </c>
      <c r="E36">
        <v>36.554174000000003</v>
      </c>
      <c r="F36">
        <v>31.977993000000001</v>
      </c>
      <c r="G36" t="str">
        <f t="shared" si="0"/>
        <v>36,554174 - 31,977993</v>
      </c>
    </row>
    <row r="37" spans="1:7" x14ac:dyDescent="0.25">
      <c r="A37" t="s">
        <v>84</v>
      </c>
      <c r="B37" t="s">
        <v>85</v>
      </c>
      <c r="C37" t="s">
        <v>741</v>
      </c>
      <c r="D37" t="s">
        <v>740</v>
      </c>
      <c r="E37">
        <v>36.506771999999998</v>
      </c>
      <c r="F37">
        <v>32.076031</v>
      </c>
      <c r="G37" t="str">
        <f t="shared" si="0"/>
        <v>36,506772 - 32,076031</v>
      </c>
    </row>
    <row r="38" spans="1:7" x14ac:dyDescent="0.25">
      <c r="A38" t="s">
        <v>86</v>
      </c>
      <c r="B38" t="s">
        <v>87</v>
      </c>
      <c r="C38" t="s">
        <v>1901</v>
      </c>
      <c r="D38" t="s">
        <v>466</v>
      </c>
      <c r="E38">
        <v>41.179808999999999</v>
      </c>
      <c r="F38">
        <v>31.383963999999999</v>
      </c>
      <c r="G38" t="str">
        <f t="shared" si="0"/>
        <v>41,179809 - 31,383964</v>
      </c>
    </row>
    <row r="39" spans="1:7" x14ac:dyDescent="0.25">
      <c r="A39" t="s">
        <v>88</v>
      </c>
      <c r="B39" t="s">
        <v>89</v>
      </c>
      <c r="C39" t="s">
        <v>1790</v>
      </c>
      <c r="D39" t="s">
        <v>225</v>
      </c>
      <c r="E39">
        <v>38.357559000000002</v>
      </c>
      <c r="F39">
        <v>28.537685</v>
      </c>
      <c r="G39" t="str">
        <f t="shared" si="0"/>
        <v>38,357559 - 28,537685</v>
      </c>
    </row>
    <row r="40" spans="1:7" x14ac:dyDescent="0.25">
      <c r="A40" t="s">
        <v>90</v>
      </c>
      <c r="B40" t="s">
        <v>91</v>
      </c>
      <c r="C40" t="s">
        <v>1144</v>
      </c>
      <c r="D40" t="s">
        <v>1143</v>
      </c>
      <c r="E40">
        <v>40.399422000000001</v>
      </c>
      <c r="F40">
        <v>27.794895</v>
      </c>
      <c r="G40" t="str">
        <f t="shared" si="0"/>
        <v>40,399422 - 27,794895</v>
      </c>
    </row>
    <row r="41" spans="1:7" x14ac:dyDescent="0.25">
      <c r="A41" t="s">
        <v>92</v>
      </c>
      <c r="B41" t="s">
        <v>93</v>
      </c>
      <c r="C41" t="s">
        <v>650</v>
      </c>
      <c r="D41" t="s">
        <v>648</v>
      </c>
      <c r="E41">
        <v>39.837310000000002</v>
      </c>
      <c r="F41">
        <v>38.274923999999999</v>
      </c>
      <c r="G41" t="str">
        <f t="shared" si="0"/>
        <v>39,83731 - 38,274924</v>
      </c>
    </row>
    <row r="42" spans="1:7" x14ac:dyDescent="0.25">
      <c r="A42" t="s">
        <v>94</v>
      </c>
      <c r="B42" t="s">
        <v>95</v>
      </c>
      <c r="C42" t="s">
        <v>691</v>
      </c>
      <c r="D42" t="s">
        <v>689</v>
      </c>
      <c r="E42">
        <v>37.813437</v>
      </c>
      <c r="F42">
        <v>31.828347999999998</v>
      </c>
      <c r="G42" t="str">
        <f t="shared" si="0"/>
        <v>37,813437 - 31,828348</v>
      </c>
    </row>
    <row r="43" spans="1:7" x14ac:dyDescent="0.25">
      <c r="A43" t="s">
        <v>96</v>
      </c>
      <c r="B43" t="s">
        <v>97</v>
      </c>
      <c r="C43" t="s">
        <v>1136</v>
      </c>
      <c r="D43" t="s">
        <v>1135</v>
      </c>
      <c r="E43">
        <v>37.694288999999998</v>
      </c>
      <c r="F43">
        <v>31.724256</v>
      </c>
      <c r="G43" t="str">
        <f t="shared" si="0"/>
        <v>37,694289 - 31,724256</v>
      </c>
    </row>
    <row r="44" spans="1:7" x14ac:dyDescent="0.25">
      <c r="A44" t="s">
        <v>98</v>
      </c>
      <c r="B44" t="s">
        <v>99</v>
      </c>
      <c r="C44" t="s">
        <v>1170</v>
      </c>
      <c r="D44" t="s">
        <v>1169</v>
      </c>
      <c r="E44">
        <v>40.399422000000001</v>
      </c>
      <c r="F44">
        <v>27.794895</v>
      </c>
      <c r="G44" t="str">
        <f t="shared" si="0"/>
        <v>40,399422 - 27,794895</v>
      </c>
    </row>
    <row r="45" spans="1:7" x14ac:dyDescent="0.25">
      <c r="A45" t="s">
        <v>100</v>
      </c>
      <c r="B45" t="s">
        <v>101</v>
      </c>
      <c r="C45" t="s">
        <v>1792</v>
      </c>
      <c r="D45" t="s">
        <v>231</v>
      </c>
      <c r="E45">
        <v>38.795093999999999</v>
      </c>
      <c r="F45">
        <v>26.974238</v>
      </c>
      <c r="G45" t="str">
        <f t="shared" si="0"/>
        <v>38,795094 - 26,974238</v>
      </c>
    </row>
    <row r="46" spans="1:7" x14ac:dyDescent="0.25">
      <c r="A46" t="s">
        <v>102</v>
      </c>
      <c r="B46" t="s">
        <v>103</v>
      </c>
      <c r="C46" t="s">
        <v>240</v>
      </c>
      <c r="D46" t="s">
        <v>239</v>
      </c>
      <c r="E46">
        <v>38.885289</v>
      </c>
      <c r="F46">
        <v>27.067094000000001</v>
      </c>
      <c r="G46" t="str">
        <f t="shared" si="0"/>
        <v>38,885289 - 27,067094</v>
      </c>
    </row>
    <row r="47" spans="1:7" x14ac:dyDescent="0.25">
      <c r="A47" t="s">
        <v>104</v>
      </c>
      <c r="B47" t="s">
        <v>105</v>
      </c>
      <c r="C47" t="s">
        <v>2014</v>
      </c>
      <c r="D47" t="s">
        <v>1038</v>
      </c>
      <c r="E47">
        <v>40.540509999999998</v>
      </c>
      <c r="F47">
        <v>30.299150000000001</v>
      </c>
      <c r="G47" t="str">
        <f t="shared" si="0"/>
        <v>40,54051 - 30,29915</v>
      </c>
    </row>
    <row r="48" spans="1:7" x14ac:dyDescent="0.25">
      <c r="A48" t="s">
        <v>106</v>
      </c>
      <c r="B48" t="s">
        <v>107</v>
      </c>
      <c r="C48" t="s">
        <v>1438</v>
      </c>
      <c r="D48" t="s">
        <v>1437</v>
      </c>
      <c r="E48">
        <v>38.289577000000001</v>
      </c>
      <c r="F48">
        <v>31.177681</v>
      </c>
      <c r="G48" t="str">
        <f t="shared" si="0"/>
        <v>38,289577 - 31,177681</v>
      </c>
    </row>
    <row r="49" spans="1:7" x14ac:dyDescent="0.25">
      <c r="A49" t="s">
        <v>108</v>
      </c>
      <c r="B49" t="s">
        <v>109</v>
      </c>
      <c r="C49" t="s">
        <v>1908</v>
      </c>
      <c r="D49" t="s">
        <v>482</v>
      </c>
      <c r="E49">
        <v>39.568877999999998</v>
      </c>
      <c r="F49">
        <v>26.754398999999999</v>
      </c>
      <c r="G49" t="str">
        <f t="shared" si="0"/>
        <v>39,568878 - 26,754399</v>
      </c>
    </row>
    <row r="50" spans="1:7" x14ac:dyDescent="0.25">
      <c r="A50" t="s">
        <v>110</v>
      </c>
      <c r="B50" t="s">
        <v>111</v>
      </c>
      <c r="C50" t="s">
        <v>1909</v>
      </c>
      <c r="D50" t="s">
        <v>484</v>
      </c>
      <c r="E50">
        <v>39.218044857203765</v>
      </c>
      <c r="F50">
        <v>26.79803195732617</v>
      </c>
      <c r="G50" t="str">
        <f t="shared" si="0"/>
        <v>39,2180448572038 - 26,7980319573262</v>
      </c>
    </row>
    <row r="51" spans="1:7" x14ac:dyDescent="0.25">
      <c r="A51" t="s">
        <v>112</v>
      </c>
      <c r="B51" t="s">
        <v>113</v>
      </c>
      <c r="C51" t="s">
        <v>2017</v>
      </c>
      <c r="D51" t="s">
        <v>1044</v>
      </c>
      <c r="E51">
        <v>40.698140000000002</v>
      </c>
      <c r="F51">
        <v>29.51033</v>
      </c>
      <c r="G51" t="str">
        <f t="shared" si="0"/>
        <v>40,69814 - 29,51033</v>
      </c>
    </row>
    <row r="52" spans="1:7" x14ac:dyDescent="0.25">
      <c r="A52" t="s">
        <v>114</v>
      </c>
      <c r="B52" t="s">
        <v>115</v>
      </c>
      <c r="C52" t="s">
        <v>685</v>
      </c>
      <c r="D52" t="s">
        <v>683</v>
      </c>
      <c r="E52">
        <v>39.075237999999999</v>
      </c>
      <c r="F52">
        <v>33.411650000000002</v>
      </c>
      <c r="G52" t="str">
        <f t="shared" si="0"/>
        <v>39,075238 - 33,41165</v>
      </c>
    </row>
    <row r="53" spans="1:7" x14ac:dyDescent="0.25">
      <c r="A53" t="s">
        <v>116</v>
      </c>
      <c r="B53" t="s">
        <v>2083</v>
      </c>
      <c r="C53" t="s">
        <v>2047</v>
      </c>
      <c r="D53" t="s">
        <v>1530</v>
      </c>
      <c r="E53">
        <v>38.002679999999998</v>
      </c>
      <c r="F53">
        <v>34.361800000000002</v>
      </c>
      <c r="G53" t="str">
        <f t="shared" si="0"/>
        <v>38,00268 - 34,3618</v>
      </c>
    </row>
    <row r="54" spans="1:7" x14ac:dyDescent="0.25">
      <c r="A54" t="s">
        <v>117</v>
      </c>
      <c r="B54" t="s">
        <v>118</v>
      </c>
      <c r="C54" t="s">
        <v>1911</v>
      </c>
      <c r="D54" t="s">
        <v>488</v>
      </c>
      <c r="E54">
        <v>41.747709999999998</v>
      </c>
      <c r="F54">
        <v>32.382528999999998</v>
      </c>
      <c r="G54" t="str">
        <f t="shared" si="0"/>
        <v>41,74771 - 32,382529</v>
      </c>
    </row>
    <row r="55" spans="1:7" x14ac:dyDescent="0.25">
      <c r="A55" t="s">
        <v>119</v>
      </c>
      <c r="B55" t="s">
        <v>120</v>
      </c>
      <c r="C55" t="s">
        <v>828</v>
      </c>
      <c r="D55" t="s">
        <v>827</v>
      </c>
      <c r="E55">
        <v>41.745375000000003</v>
      </c>
      <c r="F55">
        <v>32.3857</v>
      </c>
      <c r="G55" t="str">
        <f t="shared" si="0"/>
        <v>41,745375 - 32,3857</v>
      </c>
    </row>
    <row r="56" spans="1:7" x14ac:dyDescent="0.25">
      <c r="A56" t="s">
        <v>122</v>
      </c>
      <c r="B56" t="s">
        <v>123</v>
      </c>
      <c r="C56" t="s">
        <v>1767</v>
      </c>
      <c r="D56" t="s">
        <v>179</v>
      </c>
      <c r="E56">
        <v>40.705604000000001</v>
      </c>
      <c r="F56">
        <v>35.802909</v>
      </c>
      <c r="G56" t="str">
        <f t="shared" si="0"/>
        <v>40,705604 - 35,802909</v>
      </c>
    </row>
    <row r="57" spans="1:7" x14ac:dyDescent="0.25">
      <c r="A57" t="s">
        <v>124</v>
      </c>
      <c r="B57" t="s">
        <v>125</v>
      </c>
      <c r="C57" t="s">
        <v>1971</v>
      </c>
      <c r="D57" t="s">
        <v>811</v>
      </c>
      <c r="E57">
        <v>36.072124000000002</v>
      </c>
      <c r="F57">
        <v>32.835006999999997</v>
      </c>
      <c r="G57" t="str">
        <f t="shared" si="0"/>
        <v>36,072124 - 32,835007</v>
      </c>
    </row>
    <row r="58" spans="1:7" x14ac:dyDescent="0.25">
      <c r="A58" t="s">
        <v>126</v>
      </c>
      <c r="B58" t="s">
        <v>127</v>
      </c>
      <c r="C58" t="s">
        <v>1705</v>
      </c>
      <c r="D58" t="s">
        <v>7</v>
      </c>
      <c r="E58">
        <v>39.918120000000002</v>
      </c>
      <c r="F58">
        <v>32.81073</v>
      </c>
      <c r="G58" t="str">
        <f t="shared" si="0"/>
        <v>39,91812 - 32,81073</v>
      </c>
    </row>
    <row r="59" spans="1:7" x14ac:dyDescent="0.25">
      <c r="A59" t="s">
        <v>128</v>
      </c>
      <c r="B59" t="s">
        <v>129</v>
      </c>
      <c r="C59" t="s">
        <v>115</v>
      </c>
      <c r="D59" t="s">
        <v>114</v>
      </c>
      <c r="E59">
        <v>39.965888999999997</v>
      </c>
      <c r="F59">
        <v>32.771360999999999</v>
      </c>
      <c r="G59" t="str">
        <f t="shared" si="0"/>
        <v>39,965889 - 32,771361</v>
      </c>
    </row>
    <row r="60" spans="1:7" x14ac:dyDescent="0.25">
      <c r="A60" t="s">
        <v>130</v>
      </c>
      <c r="B60" t="s">
        <v>131</v>
      </c>
      <c r="C60" t="s">
        <v>2083</v>
      </c>
      <c r="D60" t="s">
        <v>116</v>
      </c>
      <c r="E60">
        <v>39.887082999999997</v>
      </c>
      <c r="F60">
        <v>32.667082999999998</v>
      </c>
      <c r="G60" t="str">
        <f t="shared" si="0"/>
        <v>39,887083 - 32,667083</v>
      </c>
    </row>
    <row r="61" spans="1:7" x14ac:dyDescent="0.25">
      <c r="A61" t="s">
        <v>132</v>
      </c>
      <c r="B61" t="s">
        <v>133</v>
      </c>
      <c r="C61" t="s">
        <v>113</v>
      </c>
      <c r="D61" t="s">
        <v>112</v>
      </c>
      <c r="E61">
        <v>39.978278000000003</v>
      </c>
      <c r="F61">
        <v>32.659027999999999</v>
      </c>
      <c r="G61" t="str">
        <f t="shared" si="0"/>
        <v>39,978278 - 32,659028</v>
      </c>
    </row>
    <row r="62" spans="1:7" x14ac:dyDescent="0.25">
      <c r="A62" t="s">
        <v>134</v>
      </c>
      <c r="B62" t="s">
        <v>135</v>
      </c>
      <c r="C62" t="s">
        <v>118</v>
      </c>
      <c r="D62" t="s">
        <v>117</v>
      </c>
      <c r="E62">
        <v>39.848306000000001</v>
      </c>
      <c r="F62">
        <v>32.811056000000001</v>
      </c>
      <c r="G62" t="str">
        <f t="shared" si="0"/>
        <v>39,848306 - 32,811056</v>
      </c>
    </row>
    <row r="63" spans="1:7" x14ac:dyDescent="0.25">
      <c r="A63" t="s">
        <v>136</v>
      </c>
      <c r="B63" t="s">
        <v>2084</v>
      </c>
      <c r="C63" t="s">
        <v>1064</v>
      </c>
      <c r="D63" t="s">
        <v>1063</v>
      </c>
      <c r="E63">
        <v>38.790436</v>
      </c>
      <c r="F63">
        <v>30.510663999999998</v>
      </c>
      <c r="G63" t="str">
        <f t="shared" si="0"/>
        <v>38,790436 - 30,510664</v>
      </c>
    </row>
    <row r="64" spans="1:7" x14ac:dyDescent="0.25">
      <c r="A64" t="s">
        <v>137</v>
      </c>
      <c r="B64" t="s">
        <v>138</v>
      </c>
      <c r="C64" t="s">
        <v>1721</v>
      </c>
      <c r="D64" t="s">
        <v>49</v>
      </c>
      <c r="E64">
        <v>36.921686000000001</v>
      </c>
      <c r="F64">
        <v>30.663936</v>
      </c>
      <c r="G64" t="str">
        <f t="shared" si="0"/>
        <v>36,921686 - 30,663936</v>
      </c>
    </row>
    <row r="65" spans="1:7" x14ac:dyDescent="0.25">
      <c r="A65" t="s">
        <v>139</v>
      </c>
      <c r="B65" t="s">
        <v>140</v>
      </c>
      <c r="C65" t="s">
        <v>1931</v>
      </c>
      <c r="D65" t="s">
        <v>532</v>
      </c>
      <c r="E65">
        <v>41.241143999999998</v>
      </c>
      <c r="F65">
        <v>33.324564000000002</v>
      </c>
      <c r="G65" t="str">
        <f t="shared" si="0"/>
        <v>41,241144 - 33,324564</v>
      </c>
    </row>
    <row r="66" spans="1:7" x14ac:dyDescent="0.25">
      <c r="A66" t="s">
        <v>141</v>
      </c>
      <c r="B66" t="s">
        <v>142</v>
      </c>
      <c r="C66" t="s">
        <v>1932</v>
      </c>
      <c r="D66" t="s">
        <v>534</v>
      </c>
      <c r="E66">
        <v>41.193396442544284</v>
      </c>
      <c r="F66">
        <v>40.987522941976138</v>
      </c>
      <c r="G66" t="str">
        <f t="shared" ref="G66:G129" si="1">CONCATENATE(E66," - ",F66)</f>
        <v>41,1933964425443 - 40,9875229419761</v>
      </c>
    </row>
    <row r="67" spans="1:7" x14ac:dyDescent="0.25">
      <c r="A67" t="s">
        <v>143</v>
      </c>
      <c r="B67" t="s">
        <v>144</v>
      </c>
      <c r="C67" t="s">
        <v>1210</v>
      </c>
      <c r="D67" t="s">
        <v>1209</v>
      </c>
      <c r="E67">
        <v>38.288176999999997</v>
      </c>
      <c r="F67">
        <v>31.918683999999999</v>
      </c>
      <c r="G67" t="str">
        <f t="shared" si="1"/>
        <v>38,288177 - 31,918684</v>
      </c>
    </row>
    <row r="68" spans="1:7" x14ac:dyDescent="0.25">
      <c r="A68" t="s">
        <v>145</v>
      </c>
      <c r="B68" t="s">
        <v>146</v>
      </c>
      <c r="C68" t="s">
        <v>1797</v>
      </c>
      <c r="D68" t="s">
        <v>243</v>
      </c>
      <c r="E68">
        <v>41.351267</v>
      </c>
      <c r="F68">
        <v>41.304392999999997</v>
      </c>
      <c r="G68" t="str">
        <f t="shared" si="1"/>
        <v>41,351267 - 41,304393</v>
      </c>
    </row>
    <row r="69" spans="1:7" x14ac:dyDescent="0.25">
      <c r="A69" t="s">
        <v>147</v>
      </c>
      <c r="B69" t="s">
        <v>148</v>
      </c>
      <c r="C69" t="s">
        <v>1588</v>
      </c>
      <c r="D69" t="s">
        <v>1587</v>
      </c>
      <c r="E69">
        <v>38.072620000000001</v>
      </c>
      <c r="F69">
        <v>26.900359999999999</v>
      </c>
      <c r="G69" t="str">
        <f t="shared" si="1"/>
        <v>38,07262 - 26,90036</v>
      </c>
    </row>
    <row r="70" spans="1:7" x14ac:dyDescent="0.25">
      <c r="A70" t="s">
        <v>149</v>
      </c>
      <c r="B70" t="s">
        <v>150</v>
      </c>
      <c r="C70" t="s">
        <v>2023</v>
      </c>
      <c r="D70" t="s">
        <v>1059</v>
      </c>
      <c r="E70">
        <v>40.118000000000002</v>
      </c>
      <c r="F70">
        <v>36.301400000000001</v>
      </c>
      <c r="G70" t="str">
        <f t="shared" si="1"/>
        <v>40,118 - 36,3014</v>
      </c>
    </row>
    <row r="71" spans="1:7" x14ac:dyDescent="0.25">
      <c r="A71" t="s">
        <v>151</v>
      </c>
      <c r="B71" t="s">
        <v>152</v>
      </c>
      <c r="C71" t="s">
        <v>1934</v>
      </c>
      <c r="D71" t="s">
        <v>538</v>
      </c>
      <c r="E71">
        <v>39.427199999999999</v>
      </c>
      <c r="F71">
        <v>26.807500000000001</v>
      </c>
      <c r="G71" t="str">
        <f t="shared" si="1"/>
        <v>39,4272 - 26,8075</v>
      </c>
    </row>
    <row r="72" spans="1:7" x14ac:dyDescent="0.25">
      <c r="A72" t="s">
        <v>153</v>
      </c>
      <c r="B72" t="s">
        <v>154</v>
      </c>
      <c r="C72" t="s">
        <v>1799</v>
      </c>
      <c r="D72" t="s">
        <v>247</v>
      </c>
      <c r="E72">
        <v>41.178032000000002</v>
      </c>
      <c r="F72">
        <v>41.843747999999998</v>
      </c>
      <c r="G72" t="str">
        <f t="shared" si="1"/>
        <v>41,178032 - 41,843748</v>
      </c>
    </row>
    <row r="73" spans="1:7" x14ac:dyDescent="0.25">
      <c r="A73" t="s">
        <v>155</v>
      </c>
      <c r="B73" t="s">
        <v>156</v>
      </c>
      <c r="C73" t="s">
        <v>1262</v>
      </c>
      <c r="D73" t="s">
        <v>1261</v>
      </c>
      <c r="E73">
        <v>41.196451000000003</v>
      </c>
      <c r="F73">
        <v>32.625377</v>
      </c>
      <c r="G73" t="str">
        <f t="shared" si="1"/>
        <v>41,196451 - 32,625377</v>
      </c>
    </row>
    <row r="74" spans="1:7" x14ac:dyDescent="0.25">
      <c r="A74" t="s">
        <v>157</v>
      </c>
      <c r="B74" t="s">
        <v>158</v>
      </c>
      <c r="C74" t="s">
        <v>1418</v>
      </c>
      <c r="D74" t="s">
        <v>1417</v>
      </c>
      <c r="E74">
        <v>38.289577000000001</v>
      </c>
      <c r="F74">
        <v>31.177681</v>
      </c>
      <c r="G74" t="str">
        <f t="shared" si="1"/>
        <v>38,289577 - 31,177681</v>
      </c>
    </row>
    <row r="75" spans="1:7" x14ac:dyDescent="0.25">
      <c r="A75" t="s">
        <v>159</v>
      </c>
      <c r="B75" t="s">
        <v>160</v>
      </c>
      <c r="C75" t="s">
        <v>1939</v>
      </c>
      <c r="D75" t="s">
        <v>550</v>
      </c>
      <c r="E75">
        <v>39.919741000000002</v>
      </c>
      <c r="F75">
        <v>40.678880999999997</v>
      </c>
      <c r="G75" t="str">
        <f t="shared" si="1"/>
        <v>39,919741 - 40,678881</v>
      </c>
    </row>
    <row r="76" spans="1:7" x14ac:dyDescent="0.25">
      <c r="A76" t="s">
        <v>161</v>
      </c>
      <c r="B76" t="s">
        <v>162</v>
      </c>
      <c r="C76" t="s">
        <v>792</v>
      </c>
      <c r="D76" t="s">
        <v>791</v>
      </c>
      <c r="E76">
        <v>37.703580000000002</v>
      </c>
      <c r="F76">
        <v>28.76773</v>
      </c>
      <c r="G76" t="str">
        <f t="shared" si="1"/>
        <v>37,70358 - 28,76773</v>
      </c>
    </row>
    <row r="77" spans="1:7" x14ac:dyDescent="0.25">
      <c r="A77" t="s">
        <v>163</v>
      </c>
      <c r="B77" t="s">
        <v>164</v>
      </c>
      <c r="C77" t="s">
        <v>784</v>
      </c>
      <c r="D77" t="s">
        <v>783</v>
      </c>
      <c r="E77">
        <v>37.883159999999997</v>
      </c>
      <c r="F77">
        <v>28.208649999999999</v>
      </c>
      <c r="G77" t="str">
        <f t="shared" si="1"/>
        <v>37,88316 - 28,20865</v>
      </c>
    </row>
    <row r="78" spans="1:7" x14ac:dyDescent="0.25">
      <c r="A78" t="s">
        <v>165</v>
      </c>
      <c r="B78" t="s">
        <v>166</v>
      </c>
      <c r="C78" t="s">
        <v>1940</v>
      </c>
      <c r="D78" t="s">
        <v>552</v>
      </c>
      <c r="E78">
        <v>38.712124000000003</v>
      </c>
      <c r="F78">
        <v>34.842731999999998</v>
      </c>
      <c r="G78" t="str">
        <f t="shared" si="1"/>
        <v>38,712124 - 34,842732</v>
      </c>
    </row>
    <row r="79" spans="1:7" x14ac:dyDescent="0.25">
      <c r="A79" t="s">
        <v>167</v>
      </c>
      <c r="B79" t="s">
        <v>168</v>
      </c>
      <c r="C79" t="s">
        <v>1106</v>
      </c>
      <c r="D79" t="s">
        <v>1105</v>
      </c>
      <c r="E79">
        <v>36.554174000000003</v>
      </c>
      <c r="F79">
        <v>31.977993000000001</v>
      </c>
      <c r="G79" t="str">
        <f t="shared" si="1"/>
        <v>36,554174 - 31,977993</v>
      </c>
    </row>
    <row r="80" spans="1:7" x14ac:dyDescent="0.25">
      <c r="A80" t="s">
        <v>169</v>
      </c>
      <c r="B80" t="s">
        <v>170</v>
      </c>
      <c r="C80" t="s">
        <v>1770</v>
      </c>
      <c r="D80" t="s">
        <v>185</v>
      </c>
      <c r="E80">
        <v>37.797002999999997</v>
      </c>
      <c r="F80">
        <v>27.840992</v>
      </c>
      <c r="G80" t="str">
        <f t="shared" si="1"/>
        <v>37,797003 - 27,840992</v>
      </c>
    </row>
    <row r="81" spans="1:7" x14ac:dyDescent="0.25">
      <c r="A81" t="s">
        <v>171</v>
      </c>
      <c r="B81" t="s">
        <v>172</v>
      </c>
      <c r="C81" t="s">
        <v>1994</v>
      </c>
      <c r="D81" t="s">
        <v>974</v>
      </c>
      <c r="E81">
        <v>36.155166000000001</v>
      </c>
      <c r="F81">
        <v>33.357075000000002</v>
      </c>
      <c r="G81" t="str">
        <f t="shared" si="1"/>
        <v>36,155166 - 33,357075</v>
      </c>
    </row>
    <row r="82" spans="1:7" x14ac:dyDescent="0.25">
      <c r="A82" t="s">
        <v>173</v>
      </c>
      <c r="B82" t="s">
        <v>174</v>
      </c>
      <c r="C82" t="s">
        <v>1008</v>
      </c>
      <c r="D82" t="s">
        <v>1007</v>
      </c>
      <c r="E82">
        <v>38.238379000000002</v>
      </c>
      <c r="F82">
        <v>27.280560000000001</v>
      </c>
      <c r="G82" t="str">
        <f t="shared" si="1"/>
        <v>38,238379 - 27,28056</v>
      </c>
    </row>
    <row r="83" spans="1:7" x14ac:dyDescent="0.25">
      <c r="A83" t="s">
        <v>175</v>
      </c>
      <c r="B83" t="s">
        <v>176</v>
      </c>
      <c r="C83" t="s">
        <v>1212</v>
      </c>
      <c r="D83" t="s">
        <v>1211</v>
      </c>
      <c r="E83">
        <v>37.780878000000001</v>
      </c>
      <c r="F83">
        <v>30.545135999999999</v>
      </c>
      <c r="G83" t="str">
        <f t="shared" si="1"/>
        <v>37,780878 - 30,545136</v>
      </c>
    </row>
    <row r="84" spans="1:7" x14ac:dyDescent="0.25">
      <c r="A84" t="s">
        <v>177</v>
      </c>
      <c r="B84" t="s">
        <v>178</v>
      </c>
      <c r="C84" t="s">
        <v>1802</v>
      </c>
      <c r="D84" t="s">
        <v>253</v>
      </c>
      <c r="E84">
        <v>39.317790000000002</v>
      </c>
      <c r="F84">
        <v>26.721008000000001</v>
      </c>
      <c r="G84" t="str">
        <f t="shared" si="1"/>
        <v>39,31779 - 26,721008</v>
      </c>
    </row>
    <row r="85" spans="1:7" x14ac:dyDescent="0.25">
      <c r="A85" t="s">
        <v>179</v>
      </c>
      <c r="B85" t="s">
        <v>180</v>
      </c>
      <c r="C85" t="s">
        <v>697</v>
      </c>
      <c r="D85" t="s">
        <v>695</v>
      </c>
      <c r="E85">
        <v>39.340812999999997</v>
      </c>
      <c r="F85">
        <v>26.753343000000001</v>
      </c>
      <c r="G85" t="str">
        <f t="shared" si="1"/>
        <v>39,340813 - 26,753343</v>
      </c>
    </row>
    <row r="86" spans="1:7" x14ac:dyDescent="0.25">
      <c r="A86" t="s">
        <v>181</v>
      </c>
      <c r="B86" t="s">
        <v>182</v>
      </c>
      <c r="C86" t="s">
        <v>89</v>
      </c>
      <c r="D86" t="s">
        <v>88</v>
      </c>
      <c r="E86">
        <v>41.427750000000003</v>
      </c>
      <c r="F86">
        <v>27.098313000000001</v>
      </c>
      <c r="G86" t="str">
        <f t="shared" si="1"/>
        <v>41,42775 - 27,098313</v>
      </c>
    </row>
    <row r="87" spans="1:7" x14ac:dyDescent="0.25">
      <c r="A87" t="s">
        <v>183</v>
      </c>
      <c r="B87" t="s">
        <v>184</v>
      </c>
      <c r="C87" t="s">
        <v>1376</v>
      </c>
      <c r="D87" t="s">
        <v>1375</v>
      </c>
      <c r="E87">
        <v>38.589663000000002</v>
      </c>
      <c r="F87">
        <v>34.678972000000002</v>
      </c>
      <c r="G87" t="str">
        <f t="shared" si="1"/>
        <v>38,589663 - 34,678972</v>
      </c>
    </row>
    <row r="88" spans="1:7" x14ac:dyDescent="0.25">
      <c r="A88" t="s">
        <v>185</v>
      </c>
      <c r="B88" t="s">
        <v>186</v>
      </c>
      <c r="C88" t="s">
        <v>1972</v>
      </c>
      <c r="D88" t="s">
        <v>813</v>
      </c>
      <c r="E88">
        <v>37.441178999999998</v>
      </c>
      <c r="F88">
        <v>27.544854000000001</v>
      </c>
      <c r="G88" t="str">
        <f t="shared" si="1"/>
        <v>37,441179 - 27,544854</v>
      </c>
    </row>
    <row r="89" spans="1:7" x14ac:dyDescent="0.25">
      <c r="A89" t="s">
        <v>187</v>
      </c>
      <c r="B89" t="s">
        <v>188</v>
      </c>
      <c r="C89" t="s">
        <v>1803</v>
      </c>
      <c r="D89" t="s">
        <v>255</v>
      </c>
      <c r="E89">
        <v>41.558512</v>
      </c>
      <c r="F89">
        <v>35.904859999999999</v>
      </c>
      <c r="G89" t="str">
        <f t="shared" si="1"/>
        <v>41,558512 - 35,90486</v>
      </c>
    </row>
    <row r="90" spans="1:7" x14ac:dyDescent="0.25">
      <c r="A90" t="s">
        <v>189</v>
      </c>
      <c r="B90" t="s">
        <v>190</v>
      </c>
      <c r="C90" t="s">
        <v>1479</v>
      </c>
      <c r="D90" t="s">
        <v>1478</v>
      </c>
      <c r="E90">
        <v>40.244847</v>
      </c>
      <c r="F90">
        <v>27.317094000000001</v>
      </c>
      <c r="G90" t="str">
        <f t="shared" si="1"/>
        <v>40,244847 - 27,317094</v>
      </c>
    </row>
    <row r="91" spans="1:7" x14ac:dyDescent="0.25">
      <c r="A91" t="s">
        <v>191</v>
      </c>
      <c r="B91" t="s">
        <v>192</v>
      </c>
      <c r="C91" t="s">
        <v>2033</v>
      </c>
      <c r="D91" t="s">
        <v>1429</v>
      </c>
      <c r="E91">
        <v>41.453181000000001</v>
      </c>
      <c r="F91">
        <v>31.776978</v>
      </c>
      <c r="G91" t="str">
        <f t="shared" si="1"/>
        <v>41,453181 - 31,776978</v>
      </c>
    </row>
    <row r="92" spans="1:7" x14ac:dyDescent="0.25">
      <c r="A92" t="s">
        <v>193</v>
      </c>
      <c r="B92" t="s">
        <v>194</v>
      </c>
      <c r="C92" t="s">
        <v>682</v>
      </c>
      <c r="D92" t="s">
        <v>680</v>
      </c>
      <c r="E92">
        <v>40.154756110000001</v>
      </c>
      <c r="F92">
        <v>34.337505919999998</v>
      </c>
      <c r="G92" t="str">
        <f t="shared" si="1"/>
        <v>40,15475611 - 34,33750592</v>
      </c>
    </row>
    <row r="93" spans="1:7" x14ac:dyDescent="0.25">
      <c r="A93" t="s">
        <v>195</v>
      </c>
      <c r="B93" t="s">
        <v>196</v>
      </c>
      <c r="C93" t="s">
        <v>1713</v>
      </c>
      <c r="D93" t="s">
        <v>35</v>
      </c>
      <c r="E93">
        <v>39.677326999999998</v>
      </c>
      <c r="F93">
        <v>27.942187000000001</v>
      </c>
      <c r="G93" t="str">
        <f t="shared" si="1"/>
        <v>39,677327 - 27,942187</v>
      </c>
    </row>
    <row r="94" spans="1:7" x14ac:dyDescent="0.25">
      <c r="A94" t="s">
        <v>197</v>
      </c>
      <c r="B94" t="s">
        <v>198</v>
      </c>
      <c r="C94" t="s">
        <v>766</v>
      </c>
      <c r="D94" t="s">
        <v>765</v>
      </c>
      <c r="E94">
        <v>38.740068000000001</v>
      </c>
      <c r="F94">
        <v>29.753208000000001</v>
      </c>
      <c r="G94" t="str">
        <f t="shared" si="1"/>
        <v>38,740068 - 29,753208</v>
      </c>
    </row>
    <row r="95" spans="1:7" x14ac:dyDescent="0.25">
      <c r="A95" t="s">
        <v>199</v>
      </c>
      <c r="B95" t="s">
        <v>200</v>
      </c>
      <c r="C95" t="s">
        <v>1805</v>
      </c>
      <c r="D95" t="s">
        <v>259</v>
      </c>
      <c r="E95">
        <v>40.316999000000003</v>
      </c>
      <c r="F95">
        <v>28.009252</v>
      </c>
      <c r="G95" t="str">
        <f t="shared" si="1"/>
        <v>40,316999 - 28,009252</v>
      </c>
    </row>
    <row r="96" spans="1:7" x14ac:dyDescent="0.25">
      <c r="A96" t="s">
        <v>201</v>
      </c>
      <c r="B96" t="s">
        <v>202</v>
      </c>
      <c r="C96" t="s">
        <v>1590</v>
      </c>
      <c r="D96" t="s">
        <v>1589</v>
      </c>
      <c r="E96">
        <v>38.085189999999997</v>
      </c>
      <c r="F96">
        <v>26</v>
      </c>
      <c r="G96" t="str">
        <f t="shared" si="1"/>
        <v>38,08519 - 26</v>
      </c>
    </row>
    <row r="97" spans="1:7" x14ac:dyDescent="0.25">
      <c r="A97" t="s">
        <v>203</v>
      </c>
      <c r="B97" t="s">
        <v>204</v>
      </c>
      <c r="C97" t="s">
        <v>1160</v>
      </c>
      <c r="D97" t="s">
        <v>1159</v>
      </c>
      <c r="E97">
        <v>40.399422000000001</v>
      </c>
      <c r="F97">
        <v>27.794895</v>
      </c>
      <c r="G97" t="str">
        <f t="shared" si="1"/>
        <v>40,399422 - 27,794895</v>
      </c>
    </row>
    <row r="98" spans="1:7" x14ac:dyDescent="0.25">
      <c r="A98" t="s">
        <v>205</v>
      </c>
      <c r="B98" t="s">
        <v>206</v>
      </c>
      <c r="C98" t="s">
        <v>1140</v>
      </c>
      <c r="D98" t="s">
        <v>1139</v>
      </c>
      <c r="E98">
        <v>40.316999000000003</v>
      </c>
      <c r="F98">
        <v>28.009252</v>
      </c>
      <c r="G98" t="str">
        <f t="shared" si="1"/>
        <v>40,316999 - 28,009252</v>
      </c>
    </row>
    <row r="99" spans="1:7" x14ac:dyDescent="0.25">
      <c r="A99" t="s">
        <v>207</v>
      </c>
      <c r="B99" t="s">
        <v>208</v>
      </c>
      <c r="C99" t="s">
        <v>1806</v>
      </c>
      <c r="D99" t="s">
        <v>261</v>
      </c>
      <c r="E99">
        <v>41.575139999999998</v>
      </c>
      <c r="F99">
        <v>32.326031</v>
      </c>
      <c r="G99" t="str">
        <f t="shared" si="1"/>
        <v>41,57514 - 32,326031</v>
      </c>
    </row>
    <row r="100" spans="1:7" x14ac:dyDescent="0.25">
      <c r="A100" t="s">
        <v>209</v>
      </c>
      <c r="B100" t="s">
        <v>210</v>
      </c>
      <c r="C100" t="s">
        <v>1180</v>
      </c>
      <c r="D100" t="s">
        <v>1179</v>
      </c>
      <c r="E100">
        <v>39.775838</v>
      </c>
      <c r="F100">
        <v>30.553260000000002</v>
      </c>
      <c r="G100" t="str">
        <f t="shared" si="1"/>
        <v>39,775838 - 30,55326</v>
      </c>
    </row>
    <row r="101" spans="1:7" x14ac:dyDescent="0.25">
      <c r="A101" t="s">
        <v>211</v>
      </c>
      <c r="B101" t="s">
        <v>212</v>
      </c>
      <c r="C101" t="s">
        <v>676</v>
      </c>
      <c r="D101" t="s">
        <v>674</v>
      </c>
      <c r="E101">
        <v>39.443592000000002</v>
      </c>
      <c r="F101">
        <v>31.568012</v>
      </c>
      <c r="G101" t="str">
        <f t="shared" si="1"/>
        <v>39,443592 - 31,568012</v>
      </c>
    </row>
    <row r="102" spans="1:7" x14ac:dyDescent="0.25">
      <c r="A102" t="s">
        <v>213</v>
      </c>
      <c r="B102" t="s">
        <v>214</v>
      </c>
      <c r="C102" t="s">
        <v>1328</v>
      </c>
      <c r="D102" t="s">
        <v>1327</v>
      </c>
      <c r="E102">
        <v>37.950322999999997</v>
      </c>
      <c r="F102">
        <v>32.509435000000003</v>
      </c>
      <c r="G102" t="str">
        <f t="shared" si="1"/>
        <v>37,950323 - 32,509435</v>
      </c>
    </row>
    <row r="103" spans="1:7" x14ac:dyDescent="0.25">
      <c r="A103" t="s">
        <v>215</v>
      </c>
      <c r="B103" t="s">
        <v>216</v>
      </c>
      <c r="C103" t="s">
        <v>2050</v>
      </c>
      <c r="D103" t="s">
        <v>1542</v>
      </c>
      <c r="E103">
        <v>37.906201561967727</v>
      </c>
      <c r="F103">
        <v>41.112412288773321</v>
      </c>
      <c r="G103" t="str">
        <f t="shared" si="1"/>
        <v>37,9062015619677 - 41,1124122887733</v>
      </c>
    </row>
    <row r="104" spans="1:7" x14ac:dyDescent="0.25">
      <c r="A104" t="s">
        <v>217</v>
      </c>
      <c r="B104" t="s">
        <v>218</v>
      </c>
      <c r="C104" t="s">
        <v>2031</v>
      </c>
      <c r="D104" t="s">
        <v>1423</v>
      </c>
      <c r="E104">
        <v>41.453181000000001</v>
      </c>
      <c r="F104">
        <v>31.776978</v>
      </c>
      <c r="G104" t="str">
        <f t="shared" si="1"/>
        <v>41,453181 - 31,776978</v>
      </c>
    </row>
    <row r="105" spans="1:7" x14ac:dyDescent="0.25">
      <c r="A105" t="s">
        <v>219</v>
      </c>
      <c r="B105" t="s">
        <v>220</v>
      </c>
      <c r="C105" t="s">
        <v>1973</v>
      </c>
      <c r="D105" t="s">
        <v>815</v>
      </c>
      <c r="E105">
        <v>40.262447999999999</v>
      </c>
      <c r="F105">
        <v>40.207096</v>
      </c>
      <c r="G105" t="str">
        <f t="shared" si="1"/>
        <v>40,262448 - 40,207096</v>
      </c>
    </row>
    <row r="106" spans="1:7" x14ac:dyDescent="0.25">
      <c r="A106" t="s">
        <v>221</v>
      </c>
      <c r="B106" t="s">
        <v>222</v>
      </c>
      <c r="C106" t="s">
        <v>1322</v>
      </c>
      <c r="D106" t="s">
        <v>1321</v>
      </c>
      <c r="E106">
        <v>36.600906000000002</v>
      </c>
      <c r="F106">
        <v>30.543500999999999</v>
      </c>
      <c r="G106" t="str">
        <f t="shared" si="1"/>
        <v>36,600906 - 30,543501</v>
      </c>
    </row>
    <row r="107" spans="1:7" x14ac:dyDescent="0.25">
      <c r="A107" t="s">
        <v>223</v>
      </c>
      <c r="B107" t="s">
        <v>224</v>
      </c>
      <c r="C107" t="s">
        <v>1308</v>
      </c>
      <c r="D107" t="s">
        <v>1307</v>
      </c>
      <c r="E107">
        <v>36.600906000000002</v>
      </c>
      <c r="F107">
        <v>30.543500999999999</v>
      </c>
      <c r="G107" t="str">
        <f t="shared" si="1"/>
        <v>36,600906 - 30,543501</v>
      </c>
    </row>
    <row r="108" spans="1:7" x14ac:dyDescent="0.25">
      <c r="A108" t="s">
        <v>225</v>
      </c>
      <c r="B108" t="s">
        <v>226</v>
      </c>
      <c r="C108" t="s">
        <v>1302</v>
      </c>
      <c r="D108" t="s">
        <v>1301</v>
      </c>
      <c r="E108">
        <v>36.600906000000002</v>
      </c>
      <c r="F108">
        <v>30.543500999999999</v>
      </c>
      <c r="G108" t="str">
        <f t="shared" si="1"/>
        <v>36,600906 - 30,543501</v>
      </c>
    </row>
    <row r="109" spans="1:7" x14ac:dyDescent="0.25">
      <c r="A109" t="s">
        <v>227</v>
      </c>
      <c r="B109" t="s">
        <v>228</v>
      </c>
      <c r="C109" t="s">
        <v>2027</v>
      </c>
      <c r="D109" t="s">
        <v>1197</v>
      </c>
      <c r="E109">
        <v>41.274844000000002</v>
      </c>
      <c r="F109">
        <v>31.486436000000001</v>
      </c>
      <c r="G109" t="str">
        <f t="shared" si="1"/>
        <v>41,274844 - 31,486436</v>
      </c>
    </row>
    <row r="110" spans="1:7" x14ac:dyDescent="0.25">
      <c r="A110" t="s">
        <v>229</v>
      </c>
      <c r="B110" t="s">
        <v>230</v>
      </c>
      <c r="C110" t="s">
        <v>1941</v>
      </c>
      <c r="D110" t="s">
        <v>554</v>
      </c>
      <c r="E110">
        <v>36.865758999999997</v>
      </c>
      <c r="F110">
        <v>31.053108999999999</v>
      </c>
      <c r="G110" t="str">
        <f t="shared" si="1"/>
        <v>36,865759 - 31,053109</v>
      </c>
    </row>
    <row r="111" spans="1:7" x14ac:dyDescent="0.25">
      <c r="A111" t="s">
        <v>231</v>
      </c>
      <c r="B111" t="s">
        <v>232</v>
      </c>
      <c r="C111" t="s">
        <v>1966</v>
      </c>
      <c r="D111" t="s">
        <v>767</v>
      </c>
      <c r="E111">
        <v>39.083987</v>
      </c>
      <c r="F111">
        <v>27.116931999999998</v>
      </c>
      <c r="G111" t="str">
        <f t="shared" si="1"/>
        <v>39,083987 - 27,116932</v>
      </c>
    </row>
    <row r="112" spans="1:7" x14ac:dyDescent="0.25">
      <c r="A112" t="s">
        <v>233</v>
      </c>
      <c r="B112" t="s">
        <v>234</v>
      </c>
      <c r="C112" t="s">
        <v>2009</v>
      </c>
      <c r="D112" t="s">
        <v>1028</v>
      </c>
      <c r="E112">
        <v>40.429009999999998</v>
      </c>
      <c r="F112">
        <v>29.926528300000001</v>
      </c>
      <c r="G112" t="str">
        <f t="shared" si="1"/>
        <v>40,42901 - 29,9265283</v>
      </c>
    </row>
    <row r="113" spans="1:7" x14ac:dyDescent="0.25">
      <c r="A113" t="s">
        <v>235</v>
      </c>
      <c r="B113" t="s">
        <v>236</v>
      </c>
      <c r="C113" t="s">
        <v>1942</v>
      </c>
      <c r="D113" t="s">
        <v>556</v>
      </c>
      <c r="E113">
        <v>41.055278999999999</v>
      </c>
      <c r="F113">
        <v>39.228492000000003</v>
      </c>
      <c r="G113" t="str">
        <f t="shared" si="1"/>
        <v>41,055279 - 39,228492</v>
      </c>
    </row>
    <row r="114" spans="1:7" x14ac:dyDescent="0.25">
      <c r="A114" t="s">
        <v>237</v>
      </c>
      <c r="B114" t="s">
        <v>238</v>
      </c>
      <c r="C114" t="s">
        <v>2036</v>
      </c>
      <c r="D114" t="s">
        <v>1441</v>
      </c>
      <c r="E114">
        <v>41.453181000000001</v>
      </c>
      <c r="F114">
        <v>31.776978</v>
      </c>
      <c r="G114" t="str">
        <f t="shared" si="1"/>
        <v>41,453181 - 31,776978</v>
      </c>
    </row>
    <row r="115" spans="1:7" x14ac:dyDescent="0.25">
      <c r="A115" t="s">
        <v>239</v>
      </c>
      <c r="B115" t="s">
        <v>240</v>
      </c>
      <c r="C115" t="s">
        <v>1130</v>
      </c>
      <c r="D115" t="s">
        <v>1129</v>
      </c>
      <c r="E115">
        <v>37.694288999999998</v>
      </c>
      <c r="F115">
        <v>31.724256</v>
      </c>
      <c r="G115" t="str">
        <f t="shared" si="1"/>
        <v>37,694289 - 31,724256</v>
      </c>
    </row>
    <row r="116" spans="1:7" x14ac:dyDescent="0.25">
      <c r="A116" t="s">
        <v>241</v>
      </c>
      <c r="B116" t="s">
        <v>242</v>
      </c>
      <c r="C116" t="s">
        <v>2003</v>
      </c>
      <c r="D116" t="s">
        <v>1013</v>
      </c>
      <c r="E116">
        <v>40.166334999999997</v>
      </c>
      <c r="F116">
        <v>31.923238999999999</v>
      </c>
      <c r="G116" t="str">
        <f t="shared" si="1"/>
        <v>40,166335 - 31,923239</v>
      </c>
    </row>
    <row r="117" spans="1:7" x14ac:dyDescent="0.25">
      <c r="A117" t="s">
        <v>243</v>
      </c>
      <c r="B117" t="s">
        <v>244</v>
      </c>
      <c r="C117" t="s">
        <v>1818</v>
      </c>
      <c r="D117" t="s">
        <v>284</v>
      </c>
      <c r="E117">
        <v>37.694288999999998</v>
      </c>
      <c r="F117">
        <v>31.724256</v>
      </c>
      <c r="G117" t="str">
        <f t="shared" si="1"/>
        <v>37,694289 - 31,724256</v>
      </c>
    </row>
    <row r="118" spans="1:7" x14ac:dyDescent="0.25">
      <c r="A118" t="s">
        <v>245</v>
      </c>
      <c r="B118" t="s">
        <v>246</v>
      </c>
      <c r="C118" t="s">
        <v>1821</v>
      </c>
      <c r="D118" t="s">
        <v>292</v>
      </c>
      <c r="E118">
        <v>40.242572000000003</v>
      </c>
      <c r="F118">
        <v>27.226229</v>
      </c>
      <c r="G118" t="str">
        <f t="shared" si="1"/>
        <v>40,242572 - 27,226229</v>
      </c>
    </row>
    <row r="119" spans="1:7" x14ac:dyDescent="0.25">
      <c r="A119" t="s">
        <v>247</v>
      </c>
      <c r="B119" t="s">
        <v>248</v>
      </c>
      <c r="C119" t="s">
        <v>1724</v>
      </c>
      <c r="D119" t="s">
        <v>55</v>
      </c>
      <c r="E119">
        <v>40.133971000000003</v>
      </c>
      <c r="F119">
        <v>30.021986999999999</v>
      </c>
      <c r="G119" t="str">
        <f t="shared" si="1"/>
        <v>40,133971 - 30,021987</v>
      </c>
    </row>
    <row r="120" spans="1:7" x14ac:dyDescent="0.25">
      <c r="A120" t="s">
        <v>249</v>
      </c>
      <c r="B120" t="s">
        <v>250</v>
      </c>
      <c r="C120" t="s">
        <v>1576</v>
      </c>
      <c r="D120" t="s">
        <v>1575</v>
      </c>
      <c r="E120">
        <v>38.052210000000002</v>
      </c>
      <c r="F120">
        <v>27.050239999999999</v>
      </c>
      <c r="G120" t="str">
        <f t="shared" si="1"/>
        <v>38,05221 - 27,05024</v>
      </c>
    </row>
    <row r="121" spans="1:7" x14ac:dyDescent="0.25">
      <c r="A121" t="s">
        <v>251</v>
      </c>
      <c r="B121" t="s">
        <v>252</v>
      </c>
      <c r="C121" t="s">
        <v>1771</v>
      </c>
      <c r="D121" t="s">
        <v>187</v>
      </c>
      <c r="E121">
        <v>38.906117999999999</v>
      </c>
      <c r="F121">
        <v>40.543204000000003</v>
      </c>
      <c r="G121" t="str">
        <f t="shared" si="1"/>
        <v>38,906118 - 40,543204</v>
      </c>
    </row>
    <row r="122" spans="1:7" x14ac:dyDescent="0.25">
      <c r="A122" t="s">
        <v>253</v>
      </c>
      <c r="B122" t="s">
        <v>254</v>
      </c>
      <c r="C122" t="s">
        <v>2051</v>
      </c>
      <c r="D122" t="s">
        <v>1544</v>
      </c>
      <c r="E122">
        <v>37.844180454604697</v>
      </c>
      <c r="F122">
        <v>40.685907206688725</v>
      </c>
      <c r="G122" t="str">
        <f t="shared" si="1"/>
        <v>37,8441804546047 - 40,6859072066887</v>
      </c>
    </row>
    <row r="123" spans="1:7" x14ac:dyDescent="0.25">
      <c r="A123" t="s">
        <v>255</v>
      </c>
      <c r="B123" t="s">
        <v>256</v>
      </c>
      <c r="C123" t="s">
        <v>1772</v>
      </c>
      <c r="D123" t="s">
        <v>189</v>
      </c>
      <c r="E123">
        <v>38.401701000000003</v>
      </c>
      <c r="F123">
        <v>42.108992000000001</v>
      </c>
      <c r="G123" t="str">
        <f t="shared" si="1"/>
        <v>38,401701 - 42,108992</v>
      </c>
    </row>
    <row r="124" spans="1:7" x14ac:dyDescent="0.25">
      <c r="A124" t="s">
        <v>257</v>
      </c>
      <c r="B124" t="s">
        <v>258</v>
      </c>
      <c r="C124" t="s">
        <v>2035</v>
      </c>
      <c r="D124" t="s">
        <v>1435</v>
      </c>
      <c r="E124">
        <v>41.453181000000001</v>
      </c>
      <c r="F124">
        <v>31.776978</v>
      </c>
      <c r="G124" t="str">
        <f t="shared" si="1"/>
        <v>41,453181 - 31,776978</v>
      </c>
    </row>
    <row r="125" spans="1:7" x14ac:dyDescent="0.25">
      <c r="A125" t="s">
        <v>259</v>
      </c>
      <c r="B125" t="s">
        <v>260</v>
      </c>
      <c r="C125" t="s">
        <v>1823</v>
      </c>
      <c r="D125" t="s">
        <v>298</v>
      </c>
      <c r="E125">
        <v>37.064048468418541</v>
      </c>
      <c r="F125">
        <v>27.464436390326135</v>
      </c>
      <c r="G125" t="str">
        <f t="shared" si="1"/>
        <v>37,0640484684185 - 27,4644363903261</v>
      </c>
    </row>
    <row r="126" spans="1:7" x14ac:dyDescent="0.25">
      <c r="A126" t="s">
        <v>261</v>
      </c>
      <c r="B126" t="s">
        <v>262</v>
      </c>
      <c r="C126" t="s">
        <v>2062</v>
      </c>
      <c r="D126" t="s">
        <v>1626</v>
      </c>
      <c r="E126">
        <v>39.190018063334669</v>
      </c>
      <c r="F126">
        <v>35.245046525441907</v>
      </c>
      <c r="G126" t="str">
        <f t="shared" si="1"/>
        <v>39,1900180633347 - 35,2450465254419</v>
      </c>
    </row>
    <row r="127" spans="1:7" x14ac:dyDescent="0.25">
      <c r="A127" t="s">
        <v>263</v>
      </c>
      <c r="B127" t="s">
        <v>264</v>
      </c>
      <c r="C127" t="s">
        <v>1717</v>
      </c>
      <c r="D127" t="s">
        <v>8</v>
      </c>
      <c r="E127">
        <v>40.734065999999999</v>
      </c>
      <c r="F127">
        <v>31.568542999999998</v>
      </c>
      <c r="G127" t="str">
        <f t="shared" si="1"/>
        <v>40,734066 - 31,568543</v>
      </c>
    </row>
    <row r="128" spans="1:7" x14ac:dyDescent="0.25">
      <c r="A128" t="s">
        <v>265</v>
      </c>
      <c r="B128" t="s">
        <v>266</v>
      </c>
      <c r="C128" t="s">
        <v>1054</v>
      </c>
      <c r="D128" t="s">
        <v>1052</v>
      </c>
      <c r="E128">
        <v>40.734133999999997</v>
      </c>
      <c r="F128">
        <v>31.5686</v>
      </c>
      <c r="G128" t="str">
        <f t="shared" si="1"/>
        <v>40,734134 - 31,5686</v>
      </c>
    </row>
    <row r="129" spans="1:7" x14ac:dyDescent="0.25">
      <c r="A129" t="s">
        <v>267</v>
      </c>
      <c r="B129" t="s">
        <v>268</v>
      </c>
      <c r="C129" t="s">
        <v>1943</v>
      </c>
      <c r="D129" t="s">
        <v>558</v>
      </c>
      <c r="E129">
        <v>38.729790000000001</v>
      </c>
      <c r="F129">
        <v>31.044477000000001</v>
      </c>
      <c r="G129" t="str">
        <f t="shared" si="1"/>
        <v>38,72979 - 31,044477</v>
      </c>
    </row>
    <row r="130" spans="1:7" x14ac:dyDescent="0.25">
      <c r="A130" t="s">
        <v>269</v>
      </c>
      <c r="B130" t="s">
        <v>270</v>
      </c>
      <c r="C130" t="s">
        <v>1825</v>
      </c>
      <c r="D130" t="s">
        <v>302</v>
      </c>
      <c r="E130">
        <v>37.906685000000003</v>
      </c>
      <c r="F130">
        <v>34.565303</v>
      </c>
      <c r="G130" t="str">
        <f t="shared" ref="G130:G193" si="2">CONCATENATE(E130," - ",F130)</f>
        <v>37,906685 - 34,565303</v>
      </c>
    </row>
    <row r="131" spans="1:7" x14ac:dyDescent="0.25">
      <c r="A131" t="s">
        <v>271</v>
      </c>
      <c r="B131" t="s">
        <v>272</v>
      </c>
      <c r="C131" t="s">
        <v>1993</v>
      </c>
      <c r="D131" t="s">
        <v>938</v>
      </c>
      <c r="E131">
        <v>41.360810999999998</v>
      </c>
      <c r="F131">
        <v>41.675488000000001</v>
      </c>
      <c r="G131" t="str">
        <f t="shared" si="2"/>
        <v>41,360811 - 41,675488</v>
      </c>
    </row>
    <row r="132" spans="1:7" x14ac:dyDescent="0.25">
      <c r="A132" t="s">
        <v>12</v>
      </c>
      <c r="B132" t="s">
        <v>273</v>
      </c>
      <c r="C132" t="s">
        <v>1944</v>
      </c>
      <c r="D132" t="s">
        <v>560</v>
      </c>
      <c r="E132">
        <v>41.466019531199997</v>
      </c>
      <c r="F132">
        <v>34.795490424</v>
      </c>
      <c r="G132" t="str">
        <f t="shared" si="2"/>
        <v>41,4660195312 - 34,795490424</v>
      </c>
    </row>
    <row r="133" spans="1:7" x14ac:dyDescent="0.25">
      <c r="A133" t="s">
        <v>274</v>
      </c>
      <c r="B133" t="s">
        <v>275</v>
      </c>
      <c r="C133" t="s">
        <v>2006</v>
      </c>
      <c r="D133" t="s">
        <v>1022</v>
      </c>
      <c r="E133">
        <v>40.484059999999999</v>
      </c>
      <c r="F133">
        <v>29.564109999999999</v>
      </c>
      <c r="G133" t="str">
        <f t="shared" si="2"/>
        <v>40,48406 - 29,56411</v>
      </c>
    </row>
    <row r="134" spans="1:7" x14ac:dyDescent="0.25">
      <c r="A134" t="s">
        <v>276</v>
      </c>
      <c r="B134" t="s">
        <v>277</v>
      </c>
      <c r="C134" t="s">
        <v>1974</v>
      </c>
      <c r="D134" t="s">
        <v>817</v>
      </c>
      <c r="E134">
        <v>37.670309000000003</v>
      </c>
      <c r="F134">
        <v>28.309866</v>
      </c>
      <c r="G134" t="str">
        <f t="shared" si="2"/>
        <v>37,670309 - 28,309866</v>
      </c>
    </row>
    <row r="135" spans="1:7" x14ac:dyDescent="0.25">
      <c r="A135" t="s">
        <v>278</v>
      </c>
      <c r="B135" t="s">
        <v>279</v>
      </c>
      <c r="C135" t="s">
        <v>1132</v>
      </c>
      <c r="D135" t="s">
        <v>1131</v>
      </c>
      <c r="E135">
        <v>37.784649999999999</v>
      </c>
      <c r="F135">
        <v>29.091100000000001</v>
      </c>
      <c r="G135" t="str">
        <f t="shared" si="2"/>
        <v>37,78465 - 29,0911</v>
      </c>
    </row>
    <row r="136" spans="1:7" x14ac:dyDescent="0.25">
      <c r="A136" t="s">
        <v>280</v>
      </c>
      <c r="B136" t="s">
        <v>281</v>
      </c>
      <c r="C136" t="s">
        <v>1485</v>
      </c>
      <c r="D136" t="s">
        <v>1484</v>
      </c>
      <c r="E136">
        <v>40.311213176510428</v>
      </c>
      <c r="F136">
        <v>27.385225621288562</v>
      </c>
      <c r="G136" t="str">
        <f t="shared" si="2"/>
        <v>40,3112131765104 - 27,3852256212886</v>
      </c>
    </row>
    <row r="137" spans="1:7" x14ac:dyDescent="0.25">
      <c r="A137" t="s">
        <v>282</v>
      </c>
      <c r="B137" t="s">
        <v>283</v>
      </c>
      <c r="C137" t="s">
        <v>1826</v>
      </c>
      <c r="D137" t="s">
        <v>304</v>
      </c>
      <c r="E137">
        <v>39.898460999999998</v>
      </c>
      <c r="F137">
        <v>30.043659000000002</v>
      </c>
      <c r="G137" t="str">
        <f t="shared" si="2"/>
        <v>39,898461 - 30,043659</v>
      </c>
    </row>
    <row r="138" spans="1:7" x14ac:dyDescent="0.25">
      <c r="A138" t="s">
        <v>284</v>
      </c>
      <c r="B138" t="s">
        <v>285</v>
      </c>
      <c r="C138" t="s">
        <v>60</v>
      </c>
      <c r="D138" t="s">
        <v>59</v>
      </c>
      <c r="E138">
        <v>39.915031999999997</v>
      </c>
      <c r="F138">
        <v>30.01483</v>
      </c>
      <c r="G138" t="str">
        <f t="shared" si="2"/>
        <v>39,915032 - 30,01483</v>
      </c>
    </row>
    <row r="139" spans="1:7" x14ac:dyDescent="0.25">
      <c r="A139" t="s">
        <v>286</v>
      </c>
      <c r="B139" t="s">
        <v>287</v>
      </c>
      <c r="C139" t="s">
        <v>1406</v>
      </c>
      <c r="D139" t="s">
        <v>1405</v>
      </c>
      <c r="E139">
        <v>38.513674999999999</v>
      </c>
      <c r="F139">
        <v>43.377628000000001</v>
      </c>
      <c r="G139" t="str">
        <f t="shared" si="2"/>
        <v>38,513675 - 43,377628</v>
      </c>
    </row>
    <row r="140" spans="1:7" x14ac:dyDescent="0.25">
      <c r="A140" t="s">
        <v>288</v>
      </c>
      <c r="B140" t="s">
        <v>289</v>
      </c>
      <c r="C140" t="s">
        <v>1400</v>
      </c>
      <c r="D140" t="s">
        <v>1399</v>
      </c>
      <c r="E140">
        <v>38.513674999999999</v>
      </c>
      <c r="F140">
        <v>43.377628000000001</v>
      </c>
      <c r="G140" t="str">
        <f t="shared" si="2"/>
        <v>38,513675 - 43,377628</v>
      </c>
    </row>
    <row r="141" spans="1:7" x14ac:dyDescent="0.25">
      <c r="A141" t="s">
        <v>290</v>
      </c>
      <c r="B141" t="s">
        <v>291</v>
      </c>
      <c r="C141" t="s">
        <v>1828</v>
      </c>
      <c r="D141" t="s">
        <v>308</v>
      </c>
      <c r="E141">
        <v>37.464664999999997</v>
      </c>
      <c r="F141">
        <v>30.562549000000001</v>
      </c>
      <c r="G141" t="str">
        <f t="shared" si="2"/>
        <v>37,464665 - 30,562549</v>
      </c>
    </row>
    <row r="142" spans="1:7" x14ac:dyDescent="0.25">
      <c r="A142" t="s">
        <v>292</v>
      </c>
      <c r="B142" t="s">
        <v>293</v>
      </c>
      <c r="C142" t="s">
        <v>820</v>
      </c>
      <c r="D142" t="s">
        <v>819</v>
      </c>
      <c r="E142">
        <v>37.960166000000001</v>
      </c>
      <c r="F142">
        <v>28.741415</v>
      </c>
      <c r="G142" t="str">
        <f t="shared" si="2"/>
        <v>37,960166 - 28,741415</v>
      </c>
    </row>
    <row r="143" spans="1:7" x14ac:dyDescent="0.25">
      <c r="A143" t="s">
        <v>294</v>
      </c>
      <c r="B143" t="s">
        <v>295</v>
      </c>
      <c r="C143" t="s">
        <v>1830</v>
      </c>
      <c r="D143" t="s">
        <v>312</v>
      </c>
      <c r="E143">
        <v>40.939163000000001</v>
      </c>
      <c r="F143">
        <v>38.235686000000001</v>
      </c>
      <c r="G143" t="str">
        <f t="shared" si="2"/>
        <v>40,939163 - 38,235686</v>
      </c>
    </row>
    <row r="144" spans="1:7" x14ac:dyDescent="0.25">
      <c r="A144" t="s">
        <v>296</v>
      </c>
      <c r="B144" t="s">
        <v>297</v>
      </c>
      <c r="C144" t="s">
        <v>1945</v>
      </c>
      <c r="D144" t="s">
        <v>562</v>
      </c>
      <c r="E144">
        <v>38.043869000000001</v>
      </c>
      <c r="F144">
        <v>28.833884000000001</v>
      </c>
      <c r="G144" t="str">
        <f t="shared" si="2"/>
        <v>38,043869 - 28,833884</v>
      </c>
    </row>
    <row r="145" spans="1:7" x14ac:dyDescent="0.25">
      <c r="A145" t="s">
        <v>298</v>
      </c>
      <c r="B145" t="s">
        <v>299</v>
      </c>
      <c r="C145" t="s">
        <v>1537</v>
      </c>
      <c r="D145" t="s">
        <v>1535</v>
      </c>
      <c r="E145">
        <v>36.19224590693355</v>
      </c>
      <c r="F145">
        <v>33.612671762406741</v>
      </c>
      <c r="G145" t="str">
        <f t="shared" si="2"/>
        <v>36,1922459069336 - 33,6126717624067</v>
      </c>
    </row>
    <row r="146" spans="1:7" x14ac:dyDescent="0.25">
      <c r="A146" t="s">
        <v>300</v>
      </c>
      <c r="B146" t="s">
        <v>301</v>
      </c>
      <c r="C146" t="s">
        <v>1722</v>
      </c>
      <c r="D146" t="s">
        <v>51</v>
      </c>
      <c r="E146">
        <v>37.737323000000004</v>
      </c>
      <c r="F146">
        <v>30.309540999999999</v>
      </c>
      <c r="G146" t="str">
        <f t="shared" si="2"/>
        <v>37,737323 - 30,309541</v>
      </c>
    </row>
    <row r="147" spans="1:7" x14ac:dyDescent="0.25">
      <c r="A147" t="s">
        <v>302</v>
      </c>
      <c r="B147" t="s">
        <v>303</v>
      </c>
      <c r="C147" t="s">
        <v>1833</v>
      </c>
      <c r="D147" t="s">
        <v>318</v>
      </c>
      <c r="E147">
        <v>39.511918999999999</v>
      </c>
      <c r="F147">
        <v>26.976312</v>
      </c>
      <c r="G147" t="str">
        <f t="shared" si="2"/>
        <v>39,511919 - 26,976312</v>
      </c>
    </row>
    <row r="148" spans="1:7" x14ac:dyDescent="0.25">
      <c r="A148" t="s">
        <v>304</v>
      </c>
      <c r="B148" t="s">
        <v>305</v>
      </c>
      <c r="C148" t="s">
        <v>324</v>
      </c>
      <c r="D148" t="s">
        <v>322</v>
      </c>
      <c r="E148">
        <v>39.426464000000003</v>
      </c>
      <c r="F148">
        <v>26.860541999999999</v>
      </c>
      <c r="G148" t="str">
        <f t="shared" si="2"/>
        <v>39,426464 - 26,860542</v>
      </c>
    </row>
    <row r="149" spans="1:7" x14ac:dyDescent="0.25">
      <c r="A149" t="s">
        <v>306</v>
      </c>
      <c r="B149" t="s">
        <v>307</v>
      </c>
      <c r="C149" t="s">
        <v>1712</v>
      </c>
      <c r="D149" t="s">
        <v>33</v>
      </c>
      <c r="E149">
        <v>40.264693999999999</v>
      </c>
      <c r="F149">
        <v>29.053080000000001</v>
      </c>
      <c r="G149" t="str">
        <f t="shared" si="2"/>
        <v>40,264694 - 29,05308</v>
      </c>
    </row>
    <row r="150" spans="1:7" x14ac:dyDescent="0.25">
      <c r="A150" t="s">
        <v>308</v>
      </c>
      <c r="B150" t="s">
        <v>309</v>
      </c>
      <c r="C150" t="s">
        <v>826</v>
      </c>
      <c r="D150" t="s">
        <v>825</v>
      </c>
      <c r="E150">
        <v>40.212274999999998</v>
      </c>
      <c r="F150">
        <v>28.986135999999998</v>
      </c>
      <c r="G150" t="str">
        <f t="shared" si="2"/>
        <v>40,212275 - 28,986136</v>
      </c>
    </row>
    <row r="151" spans="1:7" x14ac:dyDescent="0.25">
      <c r="A151" t="s">
        <v>310</v>
      </c>
      <c r="B151" t="s">
        <v>311</v>
      </c>
      <c r="C151" t="s">
        <v>965</v>
      </c>
      <c r="D151" t="s">
        <v>964</v>
      </c>
      <c r="E151">
        <v>40.198535999999997</v>
      </c>
      <c r="F151">
        <v>29.201080999999999</v>
      </c>
      <c r="G151" t="str">
        <f t="shared" si="2"/>
        <v>40,198536 - 29,201081</v>
      </c>
    </row>
    <row r="152" spans="1:7" x14ac:dyDescent="0.25">
      <c r="A152" t="s">
        <v>312</v>
      </c>
      <c r="B152" t="s">
        <v>313</v>
      </c>
      <c r="C152" t="s">
        <v>824</v>
      </c>
      <c r="D152" t="s">
        <v>823</v>
      </c>
      <c r="E152">
        <v>40.219203</v>
      </c>
      <c r="F152">
        <v>28.761612</v>
      </c>
      <c r="G152" t="str">
        <f t="shared" si="2"/>
        <v>40,219203 - 28,761612</v>
      </c>
    </row>
    <row r="153" spans="1:7" x14ac:dyDescent="0.25">
      <c r="A153" t="s">
        <v>314</v>
      </c>
      <c r="B153" t="s">
        <v>315</v>
      </c>
      <c r="C153" t="s">
        <v>822</v>
      </c>
      <c r="D153" t="s">
        <v>821</v>
      </c>
      <c r="E153">
        <v>40.191102999999998</v>
      </c>
      <c r="F153">
        <v>29.111712000000001</v>
      </c>
      <c r="G153" t="str">
        <f t="shared" si="2"/>
        <v>40,191103 - 29,111712</v>
      </c>
    </row>
    <row r="154" spans="1:7" x14ac:dyDescent="0.25">
      <c r="A154" t="s">
        <v>316</v>
      </c>
      <c r="B154" t="s">
        <v>317</v>
      </c>
      <c r="C154" t="s">
        <v>176</v>
      </c>
      <c r="D154" t="s">
        <v>175</v>
      </c>
      <c r="E154">
        <v>40.191099999999999</v>
      </c>
      <c r="F154">
        <v>29.111699999999999</v>
      </c>
      <c r="G154" t="str">
        <f t="shared" si="2"/>
        <v>40,1911 - 29,1117</v>
      </c>
    </row>
    <row r="155" spans="1:7" x14ac:dyDescent="0.25">
      <c r="A155" t="s">
        <v>318</v>
      </c>
      <c r="B155" t="s">
        <v>319</v>
      </c>
      <c r="C155" t="s">
        <v>1288</v>
      </c>
      <c r="D155" t="s">
        <v>1287</v>
      </c>
      <c r="E155">
        <v>41.196451000000003</v>
      </c>
      <c r="F155">
        <v>32.625377</v>
      </c>
      <c r="G155" t="str">
        <f t="shared" si="2"/>
        <v>41,196451 - 32,625377</v>
      </c>
    </row>
    <row r="156" spans="1:7" x14ac:dyDescent="0.25">
      <c r="A156" t="s">
        <v>320</v>
      </c>
      <c r="B156" t="s">
        <v>321</v>
      </c>
      <c r="C156" t="s">
        <v>1609</v>
      </c>
      <c r="D156" t="s">
        <v>1607</v>
      </c>
      <c r="E156">
        <v>38.298417637157677</v>
      </c>
      <c r="F156">
        <v>42.000885791677703</v>
      </c>
      <c r="G156" t="str">
        <f t="shared" si="2"/>
        <v>38,2984176371577 - 42,0008857916777</v>
      </c>
    </row>
    <row r="157" spans="1:7" x14ac:dyDescent="0.25">
      <c r="A157" t="s">
        <v>322</v>
      </c>
      <c r="B157" t="s">
        <v>323</v>
      </c>
      <c r="C157" t="s">
        <v>2070</v>
      </c>
      <c r="D157" t="s">
        <v>1661</v>
      </c>
      <c r="E157">
        <v>36.171259999999997</v>
      </c>
      <c r="F157">
        <v>33.557859999999998</v>
      </c>
      <c r="G157" t="str">
        <f t="shared" si="2"/>
        <v>36,17126 - 33,55786</v>
      </c>
    </row>
    <row r="158" spans="1:7" x14ac:dyDescent="0.25">
      <c r="A158" t="s">
        <v>325</v>
      </c>
      <c r="B158" t="s">
        <v>326</v>
      </c>
      <c r="C158" t="s">
        <v>963</v>
      </c>
      <c r="D158" t="s">
        <v>962</v>
      </c>
      <c r="E158">
        <v>39.145966999999999</v>
      </c>
      <c r="F158">
        <v>34.161074999999997</v>
      </c>
      <c r="G158" t="str">
        <f t="shared" si="2"/>
        <v>39,145967 - 34,161075</v>
      </c>
    </row>
    <row r="159" spans="1:7" x14ac:dyDescent="0.25">
      <c r="A159" t="s">
        <v>327</v>
      </c>
      <c r="B159" t="s">
        <v>328</v>
      </c>
      <c r="C159" t="s">
        <v>638</v>
      </c>
      <c r="D159" t="s">
        <v>636</v>
      </c>
      <c r="E159">
        <v>39.064489000000002</v>
      </c>
      <c r="F159">
        <v>34.391863000000001</v>
      </c>
      <c r="G159" t="str">
        <f t="shared" si="2"/>
        <v>39,064489 - 34,391863</v>
      </c>
    </row>
    <row r="160" spans="1:7" x14ac:dyDescent="0.25">
      <c r="A160" t="s">
        <v>329</v>
      </c>
      <c r="B160" t="s">
        <v>330</v>
      </c>
      <c r="C160" t="s">
        <v>611</v>
      </c>
      <c r="D160" t="s">
        <v>609</v>
      </c>
      <c r="E160">
        <v>39.98754229</v>
      </c>
      <c r="F160">
        <v>28.200067199999999</v>
      </c>
      <c r="G160" t="str">
        <f t="shared" si="2"/>
        <v>39,98754229 - 28,2000672</v>
      </c>
    </row>
    <row r="161" spans="1:7" x14ac:dyDescent="0.25">
      <c r="A161" t="s">
        <v>331</v>
      </c>
      <c r="B161" t="s">
        <v>332</v>
      </c>
      <c r="C161" t="s">
        <v>1500</v>
      </c>
      <c r="D161" t="s">
        <v>1498</v>
      </c>
      <c r="E161">
        <v>39.439734835328061</v>
      </c>
      <c r="F161">
        <v>31.56417106505134</v>
      </c>
      <c r="G161" t="str">
        <f t="shared" si="2"/>
        <v>39,4397348353281 - 31,5641710650513</v>
      </c>
    </row>
    <row r="162" spans="1:7" x14ac:dyDescent="0.25">
      <c r="A162" t="s">
        <v>333</v>
      </c>
      <c r="B162" t="s">
        <v>334</v>
      </c>
      <c r="C162" t="s">
        <v>1862</v>
      </c>
      <c r="D162" t="s">
        <v>383</v>
      </c>
      <c r="E162">
        <v>37.026868999999998</v>
      </c>
      <c r="F162">
        <v>35.839343999999997</v>
      </c>
      <c r="G162" t="str">
        <f t="shared" si="2"/>
        <v>37,026869 - 35,839344</v>
      </c>
    </row>
    <row r="163" spans="1:7" x14ac:dyDescent="0.25">
      <c r="A163" t="s">
        <v>335</v>
      </c>
      <c r="B163" t="s">
        <v>336</v>
      </c>
      <c r="C163" t="s">
        <v>1256</v>
      </c>
      <c r="D163" t="s">
        <v>1255</v>
      </c>
      <c r="E163">
        <v>37.780878000000001</v>
      </c>
      <c r="F163">
        <v>30.545135999999999</v>
      </c>
      <c r="G163" t="str">
        <f t="shared" si="2"/>
        <v>37,780878 - 30,545136</v>
      </c>
    </row>
    <row r="164" spans="1:7" x14ac:dyDescent="0.25">
      <c r="A164" t="s">
        <v>337</v>
      </c>
      <c r="B164" t="s">
        <v>338</v>
      </c>
      <c r="C164" t="s">
        <v>1955</v>
      </c>
      <c r="D164" t="s">
        <v>582</v>
      </c>
      <c r="E164">
        <v>41.891364000000003</v>
      </c>
      <c r="F164">
        <v>32.999206999999998</v>
      </c>
      <c r="G164" t="str">
        <f t="shared" si="2"/>
        <v>41,891364 - 32,999207</v>
      </c>
    </row>
    <row r="165" spans="1:7" x14ac:dyDescent="0.25">
      <c r="A165" t="s">
        <v>339</v>
      </c>
      <c r="B165" t="s">
        <v>340</v>
      </c>
      <c r="C165" t="s">
        <v>1861</v>
      </c>
      <c r="D165" t="s">
        <v>381</v>
      </c>
      <c r="E165">
        <v>38.655593000000003</v>
      </c>
      <c r="F165">
        <v>32.920226</v>
      </c>
      <c r="G165" t="str">
        <f t="shared" si="2"/>
        <v>38,655593 - 32,920226</v>
      </c>
    </row>
    <row r="166" spans="1:7" x14ac:dyDescent="0.25">
      <c r="A166" t="s">
        <v>341</v>
      </c>
      <c r="B166" t="s">
        <v>342</v>
      </c>
      <c r="C166" t="s">
        <v>1284</v>
      </c>
      <c r="D166" t="s">
        <v>1283</v>
      </c>
      <c r="E166">
        <v>41.196451000000003</v>
      </c>
      <c r="F166">
        <v>32.625377</v>
      </c>
      <c r="G166" t="str">
        <f t="shared" si="2"/>
        <v>41,196451 - 32,625377</v>
      </c>
    </row>
    <row r="167" spans="1:7" x14ac:dyDescent="0.25">
      <c r="A167" t="s">
        <v>343</v>
      </c>
      <c r="B167" t="s">
        <v>344</v>
      </c>
      <c r="C167" t="s">
        <v>1228</v>
      </c>
      <c r="D167" t="s">
        <v>1227</v>
      </c>
      <c r="E167">
        <v>36.300238</v>
      </c>
      <c r="F167">
        <v>30.142817999999998</v>
      </c>
      <c r="G167" t="str">
        <f t="shared" si="2"/>
        <v>36,300238 - 30,142818</v>
      </c>
    </row>
    <row r="168" spans="1:7" x14ac:dyDescent="0.25">
      <c r="A168" t="s">
        <v>345</v>
      </c>
      <c r="B168" t="s">
        <v>346</v>
      </c>
      <c r="C168" t="s">
        <v>699</v>
      </c>
      <c r="D168" t="s">
        <v>698</v>
      </c>
      <c r="E168">
        <v>39.860883999999999</v>
      </c>
      <c r="F168">
        <v>34.933368999999999</v>
      </c>
      <c r="G168" t="str">
        <f t="shared" si="2"/>
        <v>39,860884 - 34,933369</v>
      </c>
    </row>
    <row r="169" spans="1:7" x14ac:dyDescent="0.25">
      <c r="A169" t="s">
        <v>347</v>
      </c>
      <c r="B169" t="s">
        <v>348</v>
      </c>
      <c r="C169" t="s">
        <v>2029</v>
      </c>
      <c r="D169" t="s">
        <v>1207</v>
      </c>
      <c r="E169">
        <v>36.300238</v>
      </c>
      <c r="F169">
        <v>30.142817999999998</v>
      </c>
      <c r="G169" t="str">
        <f t="shared" si="2"/>
        <v>36,300238 - 30,142818</v>
      </c>
    </row>
    <row r="170" spans="1:7" x14ac:dyDescent="0.25">
      <c r="A170" t="s">
        <v>349</v>
      </c>
      <c r="B170" t="s">
        <v>350</v>
      </c>
      <c r="C170" t="s">
        <v>1975</v>
      </c>
      <c r="D170" t="s">
        <v>829</v>
      </c>
      <c r="E170">
        <v>39.133526000000003</v>
      </c>
      <c r="F170">
        <v>43.900587999999999</v>
      </c>
      <c r="G170" t="str">
        <f t="shared" si="2"/>
        <v>39,133526 - 43,900588</v>
      </c>
    </row>
    <row r="171" spans="1:7" x14ac:dyDescent="0.25">
      <c r="A171" t="s">
        <v>351</v>
      </c>
      <c r="B171" t="s">
        <v>352</v>
      </c>
      <c r="C171" t="s">
        <v>717</v>
      </c>
      <c r="D171" t="s">
        <v>715</v>
      </c>
      <c r="E171">
        <v>36.927</v>
      </c>
      <c r="F171">
        <v>29.73601</v>
      </c>
      <c r="G171" t="str">
        <f t="shared" si="2"/>
        <v>36,927 - 29,73601</v>
      </c>
    </row>
    <row r="172" spans="1:7" x14ac:dyDescent="0.25">
      <c r="A172" t="s">
        <v>353</v>
      </c>
      <c r="B172" t="s">
        <v>354</v>
      </c>
      <c r="C172" t="s">
        <v>955</v>
      </c>
      <c r="D172" t="s">
        <v>953</v>
      </c>
      <c r="E172">
        <v>36.927</v>
      </c>
      <c r="F172">
        <v>29.73601</v>
      </c>
      <c r="G172" t="str">
        <f t="shared" si="2"/>
        <v>36,927 - 29,73601</v>
      </c>
    </row>
    <row r="173" spans="1:7" x14ac:dyDescent="0.25">
      <c r="A173" t="s">
        <v>355</v>
      </c>
      <c r="B173" t="s">
        <v>356</v>
      </c>
      <c r="C173" t="s">
        <v>1082</v>
      </c>
      <c r="D173" t="s">
        <v>1081</v>
      </c>
      <c r="E173">
        <v>36.921686000000001</v>
      </c>
      <c r="F173">
        <v>30.663936</v>
      </c>
      <c r="G173" t="str">
        <f t="shared" si="2"/>
        <v>36,921686 - 30,663936</v>
      </c>
    </row>
    <row r="174" spans="1:7" x14ac:dyDescent="0.25">
      <c r="A174" t="s">
        <v>357</v>
      </c>
      <c r="B174" t="s">
        <v>358</v>
      </c>
      <c r="C174" t="s">
        <v>1946</v>
      </c>
      <c r="D174" t="s">
        <v>564</v>
      </c>
      <c r="E174">
        <v>40.028086999999999</v>
      </c>
      <c r="F174">
        <v>27.053049999999999</v>
      </c>
      <c r="G174" t="str">
        <f t="shared" si="2"/>
        <v>40,028087 - 27,05305</v>
      </c>
    </row>
    <row r="175" spans="1:7" x14ac:dyDescent="0.25">
      <c r="A175" t="s">
        <v>359</v>
      </c>
      <c r="B175" t="s">
        <v>360</v>
      </c>
      <c r="C175" t="s">
        <v>1739</v>
      </c>
      <c r="D175" t="s">
        <v>104</v>
      </c>
      <c r="E175">
        <v>40.150545000000001</v>
      </c>
      <c r="F175">
        <v>26.456527999999999</v>
      </c>
      <c r="G175" t="str">
        <f t="shared" si="2"/>
        <v>40,150545 - 26,456528</v>
      </c>
    </row>
    <row r="176" spans="1:7" x14ac:dyDescent="0.25">
      <c r="A176" t="s">
        <v>361</v>
      </c>
      <c r="B176" t="s">
        <v>362</v>
      </c>
      <c r="C176" t="s">
        <v>732</v>
      </c>
      <c r="D176" t="s">
        <v>731</v>
      </c>
      <c r="E176">
        <v>40.151119999999999</v>
      </c>
      <c r="F176">
        <v>26.401879000000001</v>
      </c>
      <c r="G176" t="str">
        <f t="shared" si="2"/>
        <v>40,15112 - 26,401879</v>
      </c>
    </row>
    <row r="177" spans="1:7" x14ac:dyDescent="0.25">
      <c r="A177" t="s">
        <v>363</v>
      </c>
      <c r="B177" t="s">
        <v>364</v>
      </c>
      <c r="C177" t="s">
        <v>1947</v>
      </c>
      <c r="D177" t="s">
        <v>566</v>
      </c>
      <c r="E177">
        <v>38.940168</v>
      </c>
      <c r="F177">
        <v>26.937736000000001</v>
      </c>
      <c r="G177" t="str">
        <f t="shared" si="2"/>
        <v>38,940168 - 26,937736</v>
      </c>
    </row>
    <row r="178" spans="1:7" x14ac:dyDescent="0.25">
      <c r="A178" t="s">
        <v>365</v>
      </c>
      <c r="B178" t="s">
        <v>366</v>
      </c>
      <c r="C178" t="s">
        <v>2063</v>
      </c>
      <c r="D178" t="s">
        <v>1628</v>
      </c>
      <c r="E178">
        <v>39.240823268089613</v>
      </c>
      <c r="F178">
        <v>35.520370224748085</v>
      </c>
      <c r="G178" t="str">
        <f t="shared" si="2"/>
        <v>39,2408232680896 - 35,5203702247481</v>
      </c>
    </row>
    <row r="179" spans="1:7" x14ac:dyDescent="0.25">
      <c r="A179" t="s">
        <v>367</v>
      </c>
      <c r="B179" t="s">
        <v>368</v>
      </c>
      <c r="C179" t="s">
        <v>832</v>
      </c>
      <c r="D179" t="s">
        <v>831</v>
      </c>
      <c r="E179">
        <v>40.593384999999998</v>
      </c>
      <c r="F179">
        <v>33.621124999999999</v>
      </c>
      <c r="G179" t="str">
        <f t="shared" si="2"/>
        <v>40,593385 - 33,621125</v>
      </c>
    </row>
    <row r="180" spans="1:7" x14ac:dyDescent="0.25">
      <c r="A180" t="s">
        <v>369</v>
      </c>
      <c r="B180" t="s">
        <v>370</v>
      </c>
      <c r="C180" t="s">
        <v>1118</v>
      </c>
      <c r="D180" t="s">
        <v>1117</v>
      </c>
      <c r="E180">
        <v>37.784649999999999</v>
      </c>
      <c r="F180">
        <v>29.091100000000001</v>
      </c>
      <c r="G180" t="str">
        <f t="shared" si="2"/>
        <v>37,78465 - 29,0911</v>
      </c>
    </row>
    <row r="181" spans="1:7" x14ac:dyDescent="0.25">
      <c r="A181" t="s">
        <v>371</v>
      </c>
      <c r="B181" t="s">
        <v>372</v>
      </c>
      <c r="C181" t="s">
        <v>1864</v>
      </c>
      <c r="D181" t="s">
        <v>387</v>
      </c>
      <c r="E181">
        <v>41.206539999999997</v>
      </c>
      <c r="F181">
        <v>36.700617999999999</v>
      </c>
      <c r="G181" t="str">
        <f t="shared" si="2"/>
        <v>41,20654 - 36,700618</v>
      </c>
    </row>
    <row r="182" spans="1:7" x14ac:dyDescent="0.25">
      <c r="A182" t="s">
        <v>373</v>
      </c>
      <c r="B182" t="s">
        <v>374</v>
      </c>
      <c r="C182" t="s">
        <v>1948</v>
      </c>
      <c r="D182" t="s">
        <v>568</v>
      </c>
      <c r="E182">
        <v>41.083117999999999</v>
      </c>
      <c r="F182">
        <v>39.377853000000002</v>
      </c>
      <c r="G182" t="str">
        <f t="shared" si="2"/>
        <v>41,083118 - 39,377853</v>
      </c>
    </row>
    <row r="183" spans="1:7" x14ac:dyDescent="0.25">
      <c r="A183" t="s">
        <v>375</v>
      </c>
      <c r="B183" t="s">
        <v>376</v>
      </c>
      <c r="C183" t="s">
        <v>2034</v>
      </c>
      <c r="D183" t="s">
        <v>1431</v>
      </c>
      <c r="E183">
        <v>41.453181000000001</v>
      </c>
      <c r="F183">
        <v>31.776978</v>
      </c>
      <c r="G183" t="str">
        <f t="shared" si="2"/>
        <v>41,453181 - 31,776978</v>
      </c>
    </row>
    <row r="184" spans="1:7" x14ac:dyDescent="0.25">
      <c r="A184" t="s">
        <v>377</v>
      </c>
      <c r="B184" t="s">
        <v>378</v>
      </c>
      <c r="C184" t="s">
        <v>1949</v>
      </c>
      <c r="D184" t="s">
        <v>570</v>
      </c>
      <c r="E184">
        <v>37.148747</v>
      </c>
      <c r="F184">
        <v>29.689184000000001</v>
      </c>
      <c r="G184" t="str">
        <f t="shared" si="2"/>
        <v>37,148747 - 29,689184</v>
      </c>
    </row>
    <row r="185" spans="1:7" x14ac:dyDescent="0.25">
      <c r="A185" t="s">
        <v>379</v>
      </c>
      <c r="B185" t="s">
        <v>380</v>
      </c>
      <c r="C185" t="s">
        <v>989</v>
      </c>
      <c r="D185" t="s">
        <v>987</v>
      </c>
      <c r="E185">
        <v>41.042372999999998</v>
      </c>
      <c r="F185">
        <v>39.071370000000002</v>
      </c>
      <c r="G185" t="str">
        <f t="shared" si="2"/>
        <v>41,042373 - 39,07137</v>
      </c>
    </row>
    <row r="186" spans="1:7" x14ac:dyDescent="0.25">
      <c r="A186" t="s">
        <v>381</v>
      </c>
      <c r="B186" t="s">
        <v>382</v>
      </c>
      <c r="C186" t="s">
        <v>1950</v>
      </c>
      <c r="D186" t="s">
        <v>572</v>
      </c>
      <c r="E186">
        <v>38.598061000000001</v>
      </c>
      <c r="F186">
        <v>31.028098</v>
      </c>
      <c r="G186" t="str">
        <f t="shared" si="2"/>
        <v>38,598061 - 31,028098</v>
      </c>
    </row>
    <row r="187" spans="1:7" x14ac:dyDescent="0.25">
      <c r="A187" t="s">
        <v>383</v>
      </c>
      <c r="B187" t="s">
        <v>384</v>
      </c>
      <c r="C187" t="s">
        <v>1286</v>
      </c>
      <c r="D187" t="s">
        <v>1285</v>
      </c>
      <c r="E187">
        <v>41.196451000000003</v>
      </c>
      <c r="F187">
        <v>32.625377</v>
      </c>
      <c r="G187" t="str">
        <f t="shared" si="2"/>
        <v>41,196451 - 32,625377</v>
      </c>
    </row>
    <row r="188" spans="1:7" x14ac:dyDescent="0.25">
      <c r="A188" t="s">
        <v>385</v>
      </c>
      <c r="B188" t="s">
        <v>386</v>
      </c>
      <c r="C188" t="s">
        <v>1863</v>
      </c>
      <c r="D188" t="s">
        <v>385</v>
      </c>
      <c r="E188">
        <v>41.424923999999997</v>
      </c>
      <c r="F188">
        <v>32.092131999999999</v>
      </c>
      <c r="G188" t="str">
        <f t="shared" si="2"/>
        <v>41,424924 - 32,092132</v>
      </c>
    </row>
    <row r="189" spans="1:7" x14ac:dyDescent="0.25">
      <c r="A189" t="s">
        <v>387</v>
      </c>
      <c r="B189" t="s">
        <v>388</v>
      </c>
      <c r="C189" t="s">
        <v>2032</v>
      </c>
      <c r="D189" t="s">
        <v>1425</v>
      </c>
      <c r="E189">
        <v>41.453181000000001</v>
      </c>
      <c r="F189">
        <v>31.776978</v>
      </c>
      <c r="G189" t="str">
        <f t="shared" si="2"/>
        <v>41,453181 - 31,776978</v>
      </c>
    </row>
    <row r="190" spans="1:7" x14ac:dyDescent="0.25">
      <c r="A190" t="s">
        <v>389</v>
      </c>
      <c r="B190" t="s">
        <v>390</v>
      </c>
      <c r="C190" t="s">
        <v>1951</v>
      </c>
      <c r="D190" t="s">
        <v>574</v>
      </c>
      <c r="E190">
        <v>41.086798999999999</v>
      </c>
      <c r="F190">
        <v>40.720820000000003</v>
      </c>
      <c r="G190" t="str">
        <f t="shared" si="2"/>
        <v>41,086799 - 40,72082</v>
      </c>
    </row>
    <row r="191" spans="1:7" x14ac:dyDescent="0.25">
      <c r="A191" t="s">
        <v>391</v>
      </c>
      <c r="B191" t="s">
        <v>392</v>
      </c>
      <c r="C191" t="s">
        <v>2064</v>
      </c>
      <c r="D191" t="s">
        <v>1630</v>
      </c>
      <c r="E191">
        <v>39.304993223289699</v>
      </c>
      <c r="F191">
        <v>35.646681284275395</v>
      </c>
      <c r="G191" t="str">
        <f t="shared" si="2"/>
        <v>39,3049932232897 - 35,6466812842754</v>
      </c>
    </row>
    <row r="192" spans="1:7" x14ac:dyDescent="0.25">
      <c r="A192" t="s">
        <v>393</v>
      </c>
      <c r="B192" t="s">
        <v>394</v>
      </c>
      <c r="C192" t="s">
        <v>2065</v>
      </c>
      <c r="D192" t="s">
        <v>1632</v>
      </c>
      <c r="E192">
        <v>40.071233994273037</v>
      </c>
      <c r="F192">
        <v>35.495369492309585</v>
      </c>
      <c r="G192" t="str">
        <f t="shared" si="2"/>
        <v>40,071233994273 - 35,4953694923096</v>
      </c>
    </row>
    <row r="193" spans="1:7" x14ac:dyDescent="0.25">
      <c r="A193" t="s">
        <v>395</v>
      </c>
      <c r="B193" t="s">
        <v>396</v>
      </c>
      <c r="C193" t="s">
        <v>2010</v>
      </c>
      <c r="D193" t="s">
        <v>1030</v>
      </c>
      <c r="E193">
        <v>40.435724999999998</v>
      </c>
      <c r="F193">
        <v>29.963315999999999</v>
      </c>
      <c r="G193" t="str">
        <f t="shared" si="2"/>
        <v>40,435725 - 29,963316</v>
      </c>
    </row>
    <row r="194" spans="1:7" x14ac:dyDescent="0.25">
      <c r="A194" t="s">
        <v>397</v>
      </c>
      <c r="B194" t="s">
        <v>398</v>
      </c>
      <c r="C194" t="s">
        <v>1736</v>
      </c>
      <c r="D194" t="s">
        <v>96</v>
      </c>
      <c r="E194">
        <v>41.277209999999997</v>
      </c>
      <c r="F194">
        <v>27.99577</v>
      </c>
      <c r="G194" t="str">
        <f t="shared" ref="G194:G257" si="3">CONCATENATE(E194," - ",F194)</f>
        <v>41,27721 - 27,99577</v>
      </c>
    </row>
    <row r="195" spans="1:7" x14ac:dyDescent="0.25">
      <c r="A195" t="s">
        <v>399</v>
      </c>
      <c r="B195" t="s">
        <v>400</v>
      </c>
      <c r="C195" t="s">
        <v>979</v>
      </c>
      <c r="D195" t="s">
        <v>978</v>
      </c>
      <c r="E195">
        <v>41.287770999999999</v>
      </c>
      <c r="F195">
        <v>27.989604</v>
      </c>
      <c r="G195" t="str">
        <f t="shared" si="3"/>
        <v>41,287771 - 27,989604</v>
      </c>
    </row>
    <row r="196" spans="1:7" x14ac:dyDescent="0.25">
      <c r="A196" t="s">
        <v>401</v>
      </c>
      <c r="B196" t="s">
        <v>402</v>
      </c>
      <c r="C196" t="s">
        <v>1952</v>
      </c>
      <c r="D196" t="s">
        <v>576</v>
      </c>
      <c r="E196">
        <v>38.315680999999998</v>
      </c>
      <c r="F196">
        <v>26.305002999999999</v>
      </c>
      <c r="G196" t="str">
        <f t="shared" si="3"/>
        <v>38,315681 - 26,305003</v>
      </c>
    </row>
    <row r="197" spans="1:7" x14ac:dyDescent="0.25">
      <c r="A197" t="s">
        <v>403</v>
      </c>
      <c r="B197" t="s">
        <v>404</v>
      </c>
      <c r="C197" t="s">
        <v>1953</v>
      </c>
      <c r="D197" t="s">
        <v>578</v>
      </c>
      <c r="E197">
        <v>38.278692999999997</v>
      </c>
      <c r="F197">
        <v>26.380032</v>
      </c>
      <c r="G197" t="str">
        <f t="shared" si="3"/>
        <v>38,278693 - 26,380032</v>
      </c>
    </row>
    <row r="198" spans="1:7" x14ac:dyDescent="0.25">
      <c r="A198" t="s">
        <v>405</v>
      </c>
      <c r="B198" t="s">
        <v>406</v>
      </c>
      <c r="C198" t="s">
        <v>1954</v>
      </c>
      <c r="D198" t="s">
        <v>580</v>
      </c>
      <c r="E198">
        <v>38.305481999999998</v>
      </c>
      <c r="F198">
        <v>26.362220000000001</v>
      </c>
      <c r="G198" t="str">
        <f t="shared" si="3"/>
        <v>38,305482 - 26,36222</v>
      </c>
    </row>
    <row r="199" spans="1:7" x14ac:dyDescent="0.25">
      <c r="A199" t="s">
        <v>407</v>
      </c>
      <c r="B199" t="s">
        <v>408</v>
      </c>
      <c r="C199" t="s">
        <v>1350</v>
      </c>
      <c r="D199" t="s">
        <v>1349</v>
      </c>
      <c r="E199">
        <v>36.363807000000001</v>
      </c>
      <c r="F199">
        <v>30.303591999999998</v>
      </c>
      <c r="G199" t="str">
        <f t="shared" si="3"/>
        <v>36,363807 - 30,303592</v>
      </c>
    </row>
    <row r="200" spans="1:7" x14ac:dyDescent="0.25">
      <c r="A200" t="s">
        <v>409</v>
      </c>
      <c r="B200" t="s">
        <v>410</v>
      </c>
      <c r="C200" t="s">
        <v>1956</v>
      </c>
      <c r="D200" t="s">
        <v>584</v>
      </c>
      <c r="E200">
        <v>38.176233000000003</v>
      </c>
      <c r="F200">
        <v>34.486932000000003</v>
      </c>
      <c r="G200" t="str">
        <f t="shared" si="3"/>
        <v>38,176233 - 34,486932</v>
      </c>
    </row>
    <row r="201" spans="1:7" x14ac:dyDescent="0.25">
      <c r="A201" t="s">
        <v>411</v>
      </c>
      <c r="B201" t="s">
        <v>412</v>
      </c>
      <c r="C201" t="s">
        <v>1566</v>
      </c>
      <c r="D201" t="s">
        <v>1564</v>
      </c>
      <c r="E201">
        <v>38.332777999999998</v>
      </c>
      <c r="F201">
        <v>38.458312999999997</v>
      </c>
      <c r="G201" t="str">
        <f t="shared" si="3"/>
        <v>38,332778 - 38,458313</v>
      </c>
    </row>
    <row r="202" spans="1:7" x14ac:dyDescent="0.25">
      <c r="A202" t="s">
        <v>413</v>
      </c>
      <c r="B202" t="s">
        <v>414</v>
      </c>
      <c r="C202" t="s">
        <v>1440</v>
      </c>
      <c r="D202" t="s">
        <v>1439</v>
      </c>
      <c r="E202">
        <v>38.289577000000001</v>
      </c>
      <c r="F202">
        <v>31.177681</v>
      </c>
      <c r="G202" t="str">
        <f t="shared" si="3"/>
        <v>38,289577 - 31,177681</v>
      </c>
    </row>
    <row r="203" spans="1:7" x14ac:dyDescent="0.25">
      <c r="A203" t="s">
        <v>416</v>
      </c>
      <c r="B203" t="s">
        <v>417</v>
      </c>
      <c r="C203" t="s">
        <v>2015</v>
      </c>
      <c r="D203" t="s">
        <v>1040</v>
      </c>
      <c r="E203">
        <v>40.661430000000003</v>
      </c>
      <c r="F203">
        <v>29.316330000000001</v>
      </c>
      <c r="G203" t="str">
        <f t="shared" si="3"/>
        <v>40,66143 - 29,31633</v>
      </c>
    </row>
    <row r="204" spans="1:7" x14ac:dyDescent="0.25">
      <c r="A204" t="s">
        <v>418</v>
      </c>
      <c r="B204" t="s">
        <v>419</v>
      </c>
      <c r="C204" t="s">
        <v>1182</v>
      </c>
      <c r="D204" t="s">
        <v>1181</v>
      </c>
      <c r="E204">
        <v>36.623781999999999</v>
      </c>
      <c r="F204">
        <v>29.13129</v>
      </c>
      <c r="G204" t="str">
        <f t="shared" si="3"/>
        <v>36,623782 - 29,13129</v>
      </c>
    </row>
    <row r="205" spans="1:7" x14ac:dyDescent="0.25">
      <c r="A205" t="s">
        <v>420</v>
      </c>
      <c r="B205" t="s">
        <v>421</v>
      </c>
      <c r="C205" t="s">
        <v>1378</v>
      </c>
      <c r="D205" t="s">
        <v>1377</v>
      </c>
      <c r="E205">
        <v>38.589663000000002</v>
      </c>
      <c r="F205">
        <v>34.678972000000002</v>
      </c>
      <c r="G205" t="str">
        <f t="shared" si="3"/>
        <v>38,589663 - 34,678972</v>
      </c>
    </row>
    <row r="206" spans="1:7" x14ac:dyDescent="0.25">
      <c r="A206" t="s">
        <v>422</v>
      </c>
      <c r="B206" t="s">
        <v>423</v>
      </c>
      <c r="C206" t="s">
        <v>1511</v>
      </c>
      <c r="D206" t="s">
        <v>1510</v>
      </c>
      <c r="E206">
        <v>38.992103999999998</v>
      </c>
      <c r="F206">
        <v>34.512456</v>
      </c>
      <c r="G206" t="str">
        <f t="shared" si="3"/>
        <v>38,992104 - 34,512456</v>
      </c>
    </row>
    <row r="207" spans="1:7" x14ac:dyDescent="0.25">
      <c r="A207" t="s">
        <v>424</v>
      </c>
      <c r="B207" t="s">
        <v>425</v>
      </c>
      <c r="C207" t="s">
        <v>1102</v>
      </c>
      <c r="D207" t="s">
        <v>1101</v>
      </c>
      <c r="E207">
        <v>36.554174000000003</v>
      </c>
      <c r="F207">
        <v>31.977993000000001</v>
      </c>
      <c r="G207" t="str">
        <f t="shared" si="3"/>
        <v>36,554174 - 31,977993</v>
      </c>
    </row>
    <row r="208" spans="1:7" x14ac:dyDescent="0.25">
      <c r="A208" t="s">
        <v>426</v>
      </c>
      <c r="B208" t="s">
        <v>427</v>
      </c>
      <c r="C208" t="s">
        <v>1957</v>
      </c>
      <c r="D208" t="s">
        <v>585</v>
      </c>
      <c r="E208">
        <v>37.614379999999997</v>
      </c>
      <c r="F208">
        <v>28.057155999999999</v>
      </c>
      <c r="G208" t="str">
        <f t="shared" si="3"/>
        <v>37,61438 - 28,057156</v>
      </c>
    </row>
    <row r="209" spans="1:7" x14ac:dyDescent="0.25">
      <c r="A209" t="s">
        <v>428</v>
      </c>
      <c r="B209" t="s">
        <v>429</v>
      </c>
      <c r="C209" t="s">
        <v>1860</v>
      </c>
      <c r="D209" t="s">
        <v>379</v>
      </c>
      <c r="E209">
        <v>38.303038000000001</v>
      </c>
      <c r="F209">
        <v>29.730356</v>
      </c>
      <c r="G209" t="str">
        <f t="shared" si="3"/>
        <v>38,303038 - 29,730356</v>
      </c>
    </row>
    <row r="210" spans="1:7" x14ac:dyDescent="0.25">
      <c r="A210" t="s">
        <v>430</v>
      </c>
      <c r="B210" t="s">
        <v>431</v>
      </c>
      <c r="C210" t="s">
        <v>1386</v>
      </c>
      <c r="D210" t="s">
        <v>1385</v>
      </c>
      <c r="E210">
        <v>36.778928999999998</v>
      </c>
      <c r="F210">
        <v>31.426172000000001</v>
      </c>
      <c r="G210" t="str">
        <f t="shared" si="3"/>
        <v>36,778929 - 31,426172</v>
      </c>
    </row>
    <row r="211" spans="1:7" x14ac:dyDescent="0.25">
      <c r="A211" t="s">
        <v>432</v>
      </c>
      <c r="B211" t="s">
        <v>433</v>
      </c>
      <c r="C211" t="s">
        <v>1734</v>
      </c>
      <c r="D211" t="s">
        <v>84</v>
      </c>
      <c r="E211">
        <v>41.161110000000001</v>
      </c>
      <c r="F211">
        <v>27.792269999999998</v>
      </c>
      <c r="G211" t="str">
        <f t="shared" si="3"/>
        <v>41,16111 - 27,79227</v>
      </c>
    </row>
    <row r="212" spans="1:7" x14ac:dyDescent="0.25">
      <c r="A212" t="s">
        <v>434</v>
      </c>
      <c r="B212" t="s">
        <v>435</v>
      </c>
      <c r="C212" t="s">
        <v>1773</v>
      </c>
      <c r="D212" t="s">
        <v>191</v>
      </c>
      <c r="E212">
        <v>40.538220000000003</v>
      </c>
      <c r="F212">
        <v>34.924855999999998</v>
      </c>
      <c r="G212" t="str">
        <f t="shared" si="3"/>
        <v>40,53822 - 34,924856</v>
      </c>
    </row>
    <row r="213" spans="1:7" x14ac:dyDescent="0.25">
      <c r="A213" t="s">
        <v>436</v>
      </c>
      <c r="B213" t="s">
        <v>437</v>
      </c>
      <c r="C213" t="s">
        <v>1244</v>
      </c>
      <c r="D213" t="s">
        <v>1243</v>
      </c>
      <c r="E213">
        <v>37.780878000000001</v>
      </c>
      <c r="F213">
        <v>30.545135999999999</v>
      </c>
      <c r="G213" t="str">
        <f t="shared" si="3"/>
        <v>37,780878 - 30,545136</v>
      </c>
    </row>
    <row r="214" spans="1:7" x14ac:dyDescent="0.25">
      <c r="A214" t="s">
        <v>438</v>
      </c>
      <c r="B214" t="s">
        <v>439</v>
      </c>
      <c r="C214" t="s">
        <v>694</v>
      </c>
      <c r="D214" t="s">
        <v>692</v>
      </c>
      <c r="E214">
        <v>39.902085999999997</v>
      </c>
      <c r="F214">
        <v>38.896371000000002</v>
      </c>
      <c r="G214" t="str">
        <f t="shared" si="3"/>
        <v>39,902086 - 38,896371</v>
      </c>
    </row>
    <row r="215" spans="1:7" x14ac:dyDescent="0.25">
      <c r="A215" t="s">
        <v>440</v>
      </c>
      <c r="B215" t="s">
        <v>441</v>
      </c>
      <c r="C215" t="s">
        <v>1958</v>
      </c>
      <c r="D215" t="s">
        <v>587</v>
      </c>
      <c r="E215">
        <v>36.814627577400003</v>
      </c>
      <c r="F215">
        <v>28.805068950100001</v>
      </c>
      <c r="G215" t="str">
        <f t="shared" si="3"/>
        <v>36,8146275774 - 28,8050689501</v>
      </c>
    </row>
    <row r="216" spans="1:7" x14ac:dyDescent="0.25">
      <c r="A216" t="s">
        <v>442</v>
      </c>
      <c r="B216" t="s">
        <v>443</v>
      </c>
      <c r="C216" t="s">
        <v>834</v>
      </c>
      <c r="D216" t="s">
        <v>833</v>
      </c>
      <c r="E216">
        <v>36.841348000000004</v>
      </c>
      <c r="F216">
        <v>28.651498</v>
      </c>
      <c r="G216" t="str">
        <f t="shared" si="3"/>
        <v>36,841348 - 28,651498</v>
      </c>
    </row>
    <row r="217" spans="1:7" x14ac:dyDescent="0.25">
      <c r="A217" t="s">
        <v>444</v>
      </c>
      <c r="B217" t="s">
        <v>445</v>
      </c>
      <c r="C217" t="s">
        <v>1959</v>
      </c>
      <c r="D217" t="s">
        <v>589</v>
      </c>
      <c r="E217">
        <v>38.556457000000002</v>
      </c>
      <c r="F217">
        <v>37.490946999999998</v>
      </c>
      <c r="G217" t="str">
        <f t="shared" si="3"/>
        <v>38,556457 - 37,490947</v>
      </c>
    </row>
    <row r="218" spans="1:7" x14ac:dyDescent="0.25">
      <c r="A218" t="s">
        <v>446</v>
      </c>
      <c r="B218" t="s">
        <v>447</v>
      </c>
      <c r="C218" t="s">
        <v>1960</v>
      </c>
      <c r="D218" t="s">
        <v>591</v>
      </c>
      <c r="E218">
        <v>36.732385999999998</v>
      </c>
      <c r="F218">
        <v>27.682044000000001</v>
      </c>
      <c r="G218" t="str">
        <f t="shared" si="3"/>
        <v>36,732386 - 27,682044</v>
      </c>
    </row>
    <row r="219" spans="1:7" x14ac:dyDescent="0.25">
      <c r="A219" t="s">
        <v>448</v>
      </c>
      <c r="B219" t="s">
        <v>449</v>
      </c>
      <c r="C219" t="s">
        <v>1342</v>
      </c>
      <c r="D219" t="s">
        <v>1341</v>
      </c>
      <c r="E219">
        <v>37.950322999999997</v>
      </c>
      <c r="F219">
        <v>32.509435000000003</v>
      </c>
      <c r="G219" t="str">
        <f t="shared" si="3"/>
        <v>37,950323 - 32,509435</v>
      </c>
    </row>
    <row r="220" spans="1:7" x14ac:dyDescent="0.25">
      <c r="A220" t="s">
        <v>450</v>
      </c>
      <c r="B220" t="s">
        <v>451</v>
      </c>
      <c r="C220" t="s">
        <v>961</v>
      </c>
      <c r="D220" t="s">
        <v>959</v>
      </c>
      <c r="E220">
        <v>40.71331</v>
      </c>
      <c r="F220">
        <v>29.737252000000002</v>
      </c>
      <c r="G220" t="str">
        <f t="shared" si="3"/>
        <v>40,71331 - 29,737252</v>
      </c>
    </row>
    <row r="221" spans="1:7" x14ac:dyDescent="0.25">
      <c r="A221" t="s">
        <v>452</v>
      </c>
      <c r="B221" t="s">
        <v>453</v>
      </c>
      <c r="C221" t="s">
        <v>1092</v>
      </c>
      <c r="D221" t="s">
        <v>1091</v>
      </c>
      <c r="E221">
        <v>38.370234000000004</v>
      </c>
      <c r="F221">
        <v>31.438488</v>
      </c>
      <c r="G221" t="str">
        <f t="shared" si="3"/>
        <v>38,370234 - 31,438488</v>
      </c>
    </row>
    <row r="222" spans="1:7" x14ac:dyDescent="0.25">
      <c r="A222" t="s">
        <v>454</v>
      </c>
      <c r="B222" t="s">
        <v>455</v>
      </c>
      <c r="C222" t="s">
        <v>2018</v>
      </c>
      <c r="D222" t="s">
        <v>1046</v>
      </c>
      <c r="E222">
        <v>40.720959999999998</v>
      </c>
      <c r="F222">
        <v>29.789577999999999</v>
      </c>
      <c r="G222" t="str">
        <f t="shared" si="3"/>
        <v>40,72096 - 29,789578</v>
      </c>
    </row>
    <row r="223" spans="1:7" x14ac:dyDescent="0.25">
      <c r="A223" t="s">
        <v>456</v>
      </c>
      <c r="B223" t="s">
        <v>457</v>
      </c>
      <c r="C223" t="s">
        <v>1578</v>
      </c>
      <c r="D223" t="s">
        <v>1577</v>
      </c>
      <c r="E223">
        <v>38.056460000000001</v>
      </c>
      <c r="F223">
        <v>27.04008</v>
      </c>
      <c r="G223" t="str">
        <f t="shared" si="3"/>
        <v>38,05646 - 27,04008</v>
      </c>
    </row>
    <row r="224" spans="1:7" x14ac:dyDescent="0.25">
      <c r="A224" t="s">
        <v>458</v>
      </c>
      <c r="B224" t="s">
        <v>459</v>
      </c>
      <c r="C224" t="s">
        <v>1497</v>
      </c>
      <c r="D224" t="s">
        <v>1496</v>
      </c>
      <c r="E224">
        <v>40.297052999999998</v>
      </c>
      <c r="F224">
        <v>27.546444999999999</v>
      </c>
      <c r="G224" t="str">
        <f t="shared" si="3"/>
        <v>40,297053 - 27,546445</v>
      </c>
    </row>
    <row r="225" spans="1:7" x14ac:dyDescent="0.25">
      <c r="A225" t="s">
        <v>460</v>
      </c>
      <c r="B225" t="s">
        <v>461</v>
      </c>
      <c r="C225" t="s">
        <v>1774</v>
      </c>
      <c r="D225" t="s">
        <v>193</v>
      </c>
      <c r="E225">
        <v>37.784649999999999</v>
      </c>
      <c r="F225">
        <v>29.091100000000001</v>
      </c>
      <c r="G225" t="str">
        <f t="shared" si="3"/>
        <v>37,78465 - 29,0911</v>
      </c>
    </row>
    <row r="226" spans="1:7" x14ac:dyDescent="0.25">
      <c r="A226" t="s">
        <v>462</v>
      </c>
      <c r="B226" t="s">
        <v>463</v>
      </c>
      <c r="C226" t="s">
        <v>971</v>
      </c>
      <c r="D226" t="s">
        <v>970</v>
      </c>
      <c r="E226">
        <v>41.024621000000003</v>
      </c>
      <c r="F226">
        <v>40.421565999999999</v>
      </c>
      <c r="G226" t="str">
        <f t="shared" si="3"/>
        <v>41,024621 - 40,421566</v>
      </c>
    </row>
    <row r="227" spans="1:7" x14ac:dyDescent="0.25">
      <c r="A227" t="s">
        <v>464</v>
      </c>
      <c r="B227" t="s">
        <v>465</v>
      </c>
      <c r="C227" t="s">
        <v>653</v>
      </c>
      <c r="D227" t="s">
        <v>651</v>
      </c>
      <c r="E227">
        <v>40.972583705056721</v>
      </c>
      <c r="F227">
        <v>34.699608071158373</v>
      </c>
      <c r="G227" t="str">
        <f t="shared" si="3"/>
        <v>40,9725837050567 - 34,6996080711584</v>
      </c>
    </row>
    <row r="228" spans="1:7" x14ac:dyDescent="0.25">
      <c r="A228" t="s">
        <v>466</v>
      </c>
      <c r="B228" t="s">
        <v>467</v>
      </c>
      <c r="C228" t="s">
        <v>1366</v>
      </c>
      <c r="D228" t="s">
        <v>1365</v>
      </c>
      <c r="E228">
        <v>37.849060999999999</v>
      </c>
      <c r="F228">
        <v>27.260888999999999</v>
      </c>
      <c r="G228" t="str">
        <f t="shared" si="3"/>
        <v>37,849061 - 27,260889</v>
      </c>
    </row>
    <row r="229" spans="1:7" x14ac:dyDescent="0.25">
      <c r="A229" t="s">
        <v>468</v>
      </c>
      <c r="B229" t="s">
        <v>469</v>
      </c>
      <c r="C229" t="s">
        <v>1859</v>
      </c>
      <c r="D229" t="s">
        <v>377</v>
      </c>
      <c r="E229">
        <v>41.227243999999999</v>
      </c>
      <c r="F229">
        <v>31.963090999999999</v>
      </c>
      <c r="G229" t="str">
        <f t="shared" si="3"/>
        <v>41,227244 - 31,963091</v>
      </c>
    </row>
    <row r="230" spans="1:7" x14ac:dyDescent="0.25">
      <c r="A230" t="s">
        <v>470</v>
      </c>
      <c r="B230" t="s">
        <v>471</v>
      </c>
      <c r="C230" t="s">
        <v>1858</v>
      </c>
      <c r="D230" t="s">
        <v>375</v>
      </c>
      <c r="E230">
        <v>37.374130000000001</v>
      </c>
      <c r="F230">
        <v>27.276198999999998</v>
      </c>
      <c r="G230" t="str">
        <f t="shared" si="3"/>
        <v>37,37413 - 27,276199</v>
      </c>
    </row>
    <row r="231" spans="1:7" x14ac:dyDescent="0.25">
      <c r="A231" t="s">
        <v>472</v>
      </c>
      <c r="B231" t="s">
        <v>473</v>
      </c>
      <c r="C231" t="s">
        <v>804</v>
      </c>
      <c r="D231" t="s">
        <v>803</v>
      </c>
      <c r="E231">
        <v>37.405284000000002</v>
      </c>
      <c r="F231">
        <v>27.232621999999999</v>
      </c>
      <c r="G231" t="str">
        <f t="shared" si="3"/>
        <v>37,405284 - 27,232622</v>
      </c>
    </row>
    <row r="232" spans="1:7" x14ac:dyDescent="0.25">
      <c r="A232" t="s">
        <v>474</v>
      </c>
      <c r="B232" t="s">
        <v>475</v>
      </c>
      <c r="C232" t="s">
        <v>1961</v>
      </c>
      <c r="D232" t="s">
        <v>593</v>
      </c>
      <c r="E232">
        <v>39.079963999999997</v>
      </c>
      <c r="F232">
        <v>26.895831999999999</v>
      </c>
      <c r="G232" t="str">
        <f t="shared" si="3"/>
        <v>39,079964 - 26,895832</v>
      </c>
    </row>
    <row r="233" spans="1:7" x14ac:dyDescent="0.25">
      <c r="A233" t="s">
        <v>476</v>
      </c>
      <c r="B233" t="s">
        <v>477</v>
      </c>
      <c r="C233" t="s">
        <v>952</v>
      </c>
      <c r="D233" t="s">
        <v>951</v>
      </c>
      <c r="E233">
        <v>39.073298000000001</v>
      </c>
      <c r="F233">
        <v>26.889118</v>
      </c>
      <c r="G233" t="str">
        <f t="shared" si="3"/>
        <v>39,073298 - 26,889118</v>
      </c>
    </row>
    <row r="234" spans="1:7" x14ac:dyDescent="0.25">
      <c r="A234" t="s">
        <v>478</v>
      </c>
      <c r="B234" t="s">
        <v>479</v>
      </c>
      <c r="C234" t="s">
        <v>1962</v>
      </c>
      <c r="D234" t="s">
        <v>598</v>
      </c>
      <c r="E234">
        <v>38.056500999999997</v>
      </c>
      <c r="F234">
        <v>30.146806000000002</v>
      </c>
      <c r="G234" t="str">
        <f t="shared" si="3"/>
        <v>38,056501 - 30,146806</v>
      </c>
    </row>
    <row r="235" spans="1:7" x14ac:dyDescent="0.25">
      <c r="A235" t="s">
        <v>480</v>
      </c>
      <c r="B235" t="s">
        <v>481</v>
      </c>
      <c r="C235" t="s">
        <v>946</v>
      </c>
      <c r="D235" t="s">
        <v>945</v>
      </c>
      <c r="E235">
        <v>38.056500999999997</v>
      </c>
      <c r="F235">
        <v>30.146806000000002</v>
      </c>
      <c r="G235" t="str">
        <f t="shared" si="3"/>
        <v>38,056501 - 30,146806</v>
      </c>
    </row>
    <row r="236" spans="1:7" x14ac:dyDescent="0.25">
      <c r="A236" t="s">
        <v>482</v>
      </c>
      <c r="B236" t="s">
        <v>483</v>
      </c>
      <c r="C236" t="s">
        <v>1126</v>
      </c>
      <c r="D236" t="s">
        <v>1125</v>
      </c>
      <c r="E236">
        <v>38.729790000000001</v>
      </c>
      <c r="F236">
        <v>31.044477000000001</v>
      </c>
      <c r="G236" t="str">
        <f t="shared" si="3"/>
        <v>38,72979 - 31,044477</v>
      </c>
    </row>
    <row r="237" spans="1:7" x14ac:dyDescent="0.25">
      <c r="A237" t="s">
        <v>484</v>
      </c>
      <c r="B237" t="s">
        <v>485</v>
      </c>
      <c r="C237" t="s">
        <v>2052</v>
      </c>
      <c r="D237" t="s">
        <v>1546</v>
      </c>
      <c r="E237">
        <v>37.919924642928414</v>
      </c>
      <c r="F237">
        <v>40.134995959623417</v>
      </c>
      <c r="G237" t="str">
        <f t="shared" si="3"/>
        <v>37,9199246429284 - 40,1349959596234</v>
      </c>
    </row>
    <row r="238" spans="1:7" x14ac:dyDescent="0.25">
      <c r="A238" t="s">
        <v>486</v>
      </c>
      <c r="B238" t="s">
        <v>487</v>
      </c>
      <c r="C238" t="s">
        <v>1178</v>
      </c>
      <c r="D238" t="s">
        <v>1177</v>
      </c>
      <c r="E238">
        <v>39.775838</v>
      </c>
      <c r="F238">
        <v>30.553260000000002</v>
      </c>
      <c r="G238" t="str">
        <f t="shared" si="3"/>
        <v>39,775838 - 30,55326</v>
      </c>
    </row>
    <row r="239" spans="1:7" x14ac:dyDescent="0.25">
      <c r="A239" t="s">
        <v>488</v>
      </c>
      <c r="B239" t="s">
        <v>489</v>
      </c>
      <c r="C239" t="s">
        <v>1592</v>
      </c>
      <c r="D239" t="s">
        <v>1591</v>
      </c>
      <c r="E239">
        <v>38.091459999999998</v>
      </c>
      <c r="F239">
        <v>26.855260000000001</v>
      </c>
      <c r="G239" t="str">
        <f t="shared" si="3"/>
        <v>38,09146 - 26,85526</v>
      </c>
    </row>
    <row r="240" spans="1:7" x14ac:dyDescent="0.25">
      <c r="A240" t="s">
        <v>490</v>
      </c>
      <c r="B240" t="s">
        <v>491</v>
      </c>
      <c r="C240" t="s">
        <v>726</v>
      </c>
      <c r="D240" t="s">
        <v>724</v>
      </c>
      <c r="E240">
        <v>40.907893999999999</v>
      </c>
      <c r="F240">
        <v>33.632058000000001</v>
      </c>
      <c r="G240" t="str">
        <f t="shared" si="3"/>
        <v>40,907894 - 33,632058</v>
      </c>
    </row>
    <row r="241" spans="1:7" x14ac:dyDescent="0.25">
      <c r="A241" t="s">
        <v>492</v>
      </c>
      <c r="B241" t="s">
        <v>493</v>
      </c>
      <c r="C241" t="s">
        <v>1613</v>
      </c>
      <c r="D241" t="s">
        <v>1612</v>
      </c>
      <c r="E241">
        <v>39.740243</v>
      </c>
      <c r="F241">
        <v>37.007624999999997</v>
      </c>
      <c r="G241" t="str">
        <f t="shared" si="3"/>
        <v>39,740243 - 37,007625</v>
      </c>
    </row>
    <row r="242" spans="1:7" x14ac:dyDescent="0.25">
      <c r="A242" t="s">
        <v>494</v>
      </c>
      <c r="B242" t="s">
        <v>495</v>
      </c>
      <c r="C242" t="s">
        <v>1857</v>
      </c>
      <c r="D242" t="s">
        <v>373</v>
      </c>
      <c r="E242">
        <v>36.829101000000001</v>
      </c>
      <c r="F242">
        <v>36.196969000000003</v>
      </c>
      <c r="G242" t="str">
        <f t="shared" si="3"/>
        <v>36,829101 - 36,196969</v>
      </c>
    </row>
    <row r="243" spans="1:7" x14ac:dyDescent="0.25">
      <c r="A243" t="s">
        <v>496</v>
      </c>
      <c r="B243" t="s">
        <v>497</v>
      </c>
      <c r="C243" t="s">
        <v>1580</v>
      </c>
      <c r="D243" t="s">
        <v>1579</v>
      </c>
      <c r="E243">
        <v>38.074179999999998</v>
      </c>
      <c r="F243">
        <v>26.995329999999999</v>
      </c>
      <c r="G243" t="str">
        <f t="shared" si="3"/>
        <v>38,07418 - 26,99533</v>
      </c>
    </row>
    <row r="244" spans="1:7" x14ac:dyDescent="0.25">
      <c r="A244" t="s">
        <v>498</v>
      </c>
      <c r="B244" t="s">
        <v>499</v>
      </c>
      <c r="C244" t="s">
        <v>1344</v>
      </c>
      <c r="D244" t="s">
        <v>1343</v>
      </c>
      <c r="E244">
        <v>37.950322999999997</v>
      </c>
      <c r="F244">
        <v>32.509435000000003</v>
      </c>
      <c r="G244" t="str">
        <f t="shared" si="3"/>
        <v>37,950323 - 32,509435</v>
      </c>
    </row>
    <row r="245" spans="1:7" x14ac:dyDescent="0.25">
      <c r="A245" t="s">
        <v>500</v>
      </c>
      <c r="B245" t="s">
        <v>501</v>
      </c>
      <c r="C245" t="s">
        <v>1716</v>
      </c>
      <c r="D245" t="s">
        <v>9</v>
      </c>
      <c r="E245">
        <v>40.827843000000001</v>
      </c>
      <c r="F245">
        <v>31.167065999999998</v>
      </c>
      <c r="G245" t="str">
        <f t="shared" si="3"/>
        <v>40,827843 - 31,167066</v>
      </c>
    </row>
    <row r="246" spans="1:7" x14ac:dyDescent="0.25">
      <c r="A246" t="s">
        <v>502</v>
      </c>
      <c r="B246" t="s">
        <v>503</v>
      </c>
      <c r="C246" t="s">
        <v>370</v>
      </c>
      <c r="D246" t="s">
        <v>369</v>
      </c>
      <c r="E246">
        <v>37.198219999999999</v>
      </c>
      <c r="F246">
        <v>36.428959999999996</v>
      </c>
      <c r="G246" t="str">
        <f t="shared" si="3"/>
        <v>37,19822 - 36,42896</v>
      </c>
    </row>
    <row r="247" spans="1:7" x14ac:dyDescent="0.25">
      <c r="A247" t="s">
        <v>504</v>
      </c>
      <c r="B247" t="s">
        <v>505</v>
      </c>
      <c r="C247" t="s">
        <v>1152</v>
      </c>
      <c r="D247" t="s">
        <v>1151</v>
      </c>
      <c r="E247">
        <v>40.399422000000001</v>
      </c>
      <c r="F247">
        <v>27.794895</v>
      </c>
      <c r="G247" t="str">
        <f t="shared" si="3"/>
        <v>40,399422 - 27,794895</v>
      </c>
    </row>
    <row r="248" spans="1:7" x14ac:dyDescent="0.25">
      <c r="A248" t="s">
        <v>506</v>
      </c>
      <c r="B248" t="s">
        <v>507</v>
      </c>
      <c r="C248" t="s">
        <v>1733</v>
      </c>
      <c r="D248" t="s">
        <v>83</v>
      </c>
      <c r="E248">
        <v>41.631996999999998</v>
      </c>
      <c r="F248">
        <v>26.618642999999999</v>
      </c>
      <c r="G248" t="str">
        <f t="shared" si="3"/>
        <v>41,631997 - 26,618643</v>
      </c>
    </row>
    <row r="249" spans="1:7" x14ac:dyDescent="0.25">
      <c r="A249" t="s">
        <v>508</v>
      </c>
      <c r="B249" t="s">
        <v>509</v>
      </c>
      <c r="C249" t="s">
        <v>1847</v>
      </c>
      <c r="D249" t="s">
        <v>351</v>
      </c>
      <c r="E249">
        <v>39.593705999999997</v>
      </c>
      <c r="F249">
        <v>27.013766</v>
      </c>
      <c r="G249" t="str">
        <f t="shared" si="3"/>
        <v>39,593706 - 27,013766</v>
      </c>
    </row>
    <row r="250" spans="1:7" x14ac:dyDescent="0.25">
      <c r="A250" t="s">
        <v>510</v>
      </c>
      <c r="B250" t="s">
        <v>511</v>
      </c>
      <c r="C250" t="s">
        <v>1412</v>
      </c>
      <c r="D250" t="s">
        <v>1411</v>
      </c>
      <c r="E250">
        <v>38.513674999999999</v>
      </c>
      <c r="F250">
        <v>43.377628000000001</v>
      </c>
      <c r="G250" t="str">
        <f t="shared" si="3"/>
        <v>38,513675 - 43,377628</v>
      </c>
    </row>
    <row r="251" spans="1:7" x14ac:dyDescent="0.25">
      <c r="A251" t="s">
        <v>512</v>
      </c>
      <c r="B251" t="s">
        <v>513</v>
      </c>
      <c r="C251" t="s">
        <v>1164</v>
      </c>
      <c r="D251" t="s">
        <v>1163</v>
      </c>
      <c r="E251">
        <v>40.399422000000001</v>
      </c>
      <c r="F251">
        <v>27.794895</v>
      </c>
      <c r="G251" t="str">
        <f t="shared" si="3"/>
        <v>40,399422 - 27,794895</v>
      </c>
    </row>
    <row r="252" spans="1:7" x14ac:dyDescent="0.25">
      <c r="A252" t="s">
        <v>514</v>
      </c>
      <c r="B252" t="s">
        <v>515</v>
      </c>
      <c r="C252" t="s">
        <v>1963</v>
      </c>
      <c r="D252" t="s">
        <v>600</v>
      </c>
      <c r="E252">
        <v>37.874028000000003</v>
      </c>
      <c r="F252">
        <v>30.851482000000001</v>
      </c>
      <c r="G252" t="str">
        <f t="shared" si="3"/>
        <v>37,874028 - 30,851482</v>
      </c>
    </row>
    <row r="253" spans="1:7" x14ac:dyDescent="0.25">
      <c r="A253" t="s">
        <v>516</v>
      </c>
      <c r="B253" t="s">
        <v>517</v>
      </c>
      <c r="C253" t="s">
        <v>1258</v>
      </c>
      <c r="D253" t="s">
        <v>1257</v>
      </c>
      <c r="E253">
        <v>37.780878000000001</v>
      </c>
      <c r="F253">
        <v>30.545135999999999</v>
      </c>
      <c r="G253" t="str">
        <f t="shared" si="3"/>
        <v>37,780878 - 30,545136</v>
      </c>
    </row>
    <row r="254" spans="1:7" x14ac:dyDescent="0.25">
      <c r="A254" t="s">
        <v>518</v>
      </c>
      <c r="B254" t="s">
        <v>519</v>
      </c>
      <c r="C254" t="s">
        <v>1266</v>
      </c>
      <c r="D254" t="s">
        <v>1265</v>
      </c>
      <c r="E254">
        <v>37.780878000000001</v>
      </c>
      <c r="F254">
        <v>30.545135999999999</v>
      </c>
      <c r="G254" t="str">
        <f t="shared" si="3"/>
        <v>37,780878 - 30,545136</v>
      </c>
    </row>
    <row r="255" spans="1:7" x14ac:dyDescent="0.25">
      <c r="A255" t="s">
        <v>520</v>
      </c>
      <c r="B255" t="s">
        <v>521</v>
      </c>
      <c r="C255" t="s">
        <v>1250</v>
      </c>
      <c r="D255" t="s">
        <v>1249</v>
      </c>
      <c r="E255">
        <v>37.780878000000001</v>
      </c>
      <c r="F255">
        <v>30.545135999999999</v>
      </c>
      <c r="G255" t="str">
        <f t="shared" si="3"/>
        <v>37,780878 - 30,545136</v>
      </c>
    </row>
    <row r="256" spans="1:7" x14ac:dyDescent="0.25">
      <c r="A256" t="s">
        <v>522</v>
      </c>
      <c r="B256" t="s">
        <v>523</v>
      </c>
      <c r="C256" t="s">
        <v>1789</v>
      </c>
      <c r="D256" t="s">
        <v>223</v>
      </c>
      <c r="E256">
        <v>38.665047000000001</v>
      </c>
      <c r="F256">
        <v>39.245106</v>
      </c>
      <c r="G256" t="str">
        <f t="shared" si="3"/>
        <v>38,665047 - 39,245106</v>
      </c>
    </row>
    <row r="257" spans="1:7" x14ac:dyDescent="0.25">
      <c r="A257" t="s">
        <v>524</v>
      </c>
      <c r="B257" t="s">
        <v>525</v>
      </c>
      <c r="C257" t="s">
        <v>1964</v>
      </c>
      <c r="D257" t="s">
        <v>602</v>
      </c>
      <c r="E257">
        <v>39.795163000000002</v>
      </c>
      <c r="F257">
        <v>42.677151000000002</v>
      </c>
      <c r="G257" t="str">
        <f t="shared" si="3"/>
        <v>39,795163 - 42,677151</v>
      </c>
    </row>
    <row r="258" spans="1:7" x14ac:dyDescent="0.25">
      <c r="A258" t="s">
        <v>526</v>
      </c>
      <c r="B258" t="s">
        <v>527</v>
      </c>
      <c r="C258" t="s">
        <v>2042</v>
      </c>
      <c r="D258" t="s">
        <v>1457</v>
      </c>
      <c r="E258">
        <v>41.453181000000001</v>
      </c>
      <c r="F258">
        <v>31.776978</v>
      </c>
      <c r="G258" t="str">
        <f t="shared" ref="G258:G321" si="4">CONCATENATE(E258," - ",F258)</f>
        <v>41,453181 - 31,776978</v>
      </c>
    </row>
    <row r="259" spans="1:7" x14ac:dyDescent="0.25">
      <c r="A259" t="s">
        <v>528</v>
      </c>
      <c r="B259" t="s">
        <v>529</v>
      </c>
      <c r="C259" t="s">
        <v>1873</v>
      </c>
      <c r="D259" t="s">
        <v>407</v>
      </c>
      <c r="E259">
        <v>39.913918000000002</v>
      </c>
      <c r="F259">
        <v>33.234268</v>
      </c>
      <c r="G259" t="str">
        <f t="shared" si="4"/>
        <v>39,913918 - 33,234268</v>
      </c>
    </row>
    <row r="260" spans="1:7" x14ac:dyDescent="0.25">
      <c r="A260" t="s">
        <v>530</v>
      </c>
      <c r="B260" t="s">
        <v>531</v>
      </c>
      <c r="C260" t="s">
        <v>1234</v>
      </c>
      <c r="D260" t="s">
        <v>1233</v>
      </c>
      <c r="E260">
        <v>36.300238</v>
      </c>
      <c r="F260">
        <v>30.142817999999998</v>
      </c>
      <c r="G260" t="str">
        <f t="shared" si="4"/>
        <v>36,300238 - 30,142818</v>
      </c>
    </row>
    <row r="261" spans="1:7" x14ac:dyDescent="0.25">
      <c r="A261" t="s">
        <v>532</v>
      </c>
      <c r="B261" t="s">
        <v>533</v>
      </c>
      <c r="C261" t="s">
        <v>1466</v>
      </c>
      <c r="D261" t="s">
        <v>1465</v>
      </c>
      <c r="E261">
        <v>41.453181000000001</v>
      </c>
      <c r="F261">
        <v>31.776978</v>
      </c>
      <c r="G261" t="str">
        <f t="shared" si="4"/>
        <v>41,453181 - 31,776978</v>
      </c>
    </row>
    <row r="262" spans="1:7" x14ac:dyDescent="0.25">
      <c r="A262" t="s">
        <v>534</v>
      </c>
      <c r="B262" t="s">
        <v>535</v>
      </c>
      <c r="C262" t="s">
        <v>1877</v>
      </c>
      <c r="D262" t="s">
        <v>418</v>
      </c>
      <c r="E262">
        <v>39.342674000000002</v>
      </c>
      <c r="F262">
        <v>29.261237999999999</v>
      </c>
      <c r="G262" t="str">
        <f t="shared" si="4"/>
        <v>39,342674 - 29,261238</v>
      </c>
    </row>
    <row r="263" spans="1:7" x14ac:dyDescent="0.25">
      <c r="A263" t="s">
        <v>536</v>
      </c>
      <c r="B263" t="s">
        <v>537</v>
      </c>
      <c r="C263" t="s">
        <v>1879</v>
      </c>
      <c r="D263" t="s">
        <v>422</v>
      </c>
      <c r="E263">
        <v>39.019416999999997</v>
      </c>
      <c r="F263">
        <v>31.150561</v>
      </c>
      <c r="G263" t="str">
        <f t="shared" si="4"/>
        <v>39,019417 - 31,150561</v>
      </c>
    </row>
    <row r="264" spans="1:7" x14ac:dyDescent="0.25">
      <c r="A264" t="s">
        <v>538</v>
      </c>
      <c r="B264" t="s">
        <v>539</v>
      </c>
      <c r="C264" t="s">
        <v>665</v>
      </c>
      <c r="D264" t="s">
        <v>663</v>
      </c>
      <c r="E264">
        <v>37.828766000000002</v>
      </c>
      <c r="F264">
        <v>29.595510000000001</v>
      </c>
      <c r="G264" t="str">
        <f t="shared" si="4"/>
        <v>37,828766 - 29,59551</v>
      </c>
    </row>
    <row r="265" spans="1:7" x14ac:dyDescent="0.25">
      <c r="A265" t="s">
        <v>540</v>
      </c>
      <c r="B265" t="s">
        <v>541</v>
      </c>
      <c r="C265" t="s">
        <v>1844</v>
      </c>
      <c r="D265" t="s">
        <v>343</v>
      </c>
      <c r="E265">
        <v>40.684643000000001</v>
      </c>
      <c r="F265">
        <v>36.573766999999997</v>
      </c>
      <c r="G265" t="str">
        <f t="shared" si="4"/>
        <v>40,684643 - 36,573767</v>
      </c>
    </row>
    <row r="266" spans="1:7" x14ac:dyDescent="0.25">
      <c r="A266" t="s">
        <v>542</v>
      </c>
      <c r="B266" t="s">
        <v>543</v>
      </c>
      <c r="C266" t="s">
        <v>1839</v>
      </c>
      <c r="D266" t="s">
        <v>333</v>
      </c>
      <c r="E266">
        <v>39.034571791600001</v>
      </c>
      <c r="F266">
        <v>43.363286773600002</v>
      </c>
      <c r="G266" t="str">
        <f t="shared" si="4"/>
        <v>39,0345717916 - 43,3632867736</v>
      </c>
    </row>
    <row r="267" spans="1:7" x14ac:dyDescent="0.25">
      <c r="A267" t="s">
        <v>544</v>
      </c>
      <c r="B267" t="s">
        <v>545</v>
      </c>
      <c r="C267" t="s">
        <v>1880</v>
      </c>
      <c r="D267" t="s">
        <v>424</v>
      </c>
      <c r="E267">
        <v>40.399422000000001</v>
      </c>
      <c r="F267">
        <v>27.794895</v>
      </c>
      <c r="G267" t="str">
        <f t="shared" si="4"/>
        <v>40,399422 - 27,794895</v>
      </c>
    </row>
    <row r="268" spans="1:7" x14ac:dyDescent="0.25">
      <c r="A268" t="s">
        <v>546</v>
      </c>
      <c r="B268" t="s">
        <v>547</v>
      </c>
      <c r="C268" t="s">
        <v>836</v>
      </c>
      <c r="D268" t="s">
        <v>835</v>
      </c>
      <c r="E268">
        <v>40.394928</v>
      </c>
      <c r="F268">
        <v>27.791371000000002</v>
      </c>
      <c r="G268" t="str">
        <f t="shared" si="4"/>
        <v>40,394928 - 27,791371</v>
      </c>
    </row>
    <row r="269" spans="1:7" x14ac:dyDescent="0.25">
      <c r="A269" t="s">
        <v>548</v>
      </c>
      <c r="B269" t="s">
        <v>549</v>
      </c>
      <c r="C269" t="s">
        <v>656</v>
      </c>
      <c r="D269" t="s">
        <v>654</v>
      </c>
      <c r="E269">
        <v>39.988903999999998</v>
      </c>
      <c r="F269">
        <v>41.757179999999998</v>
      </c>
      <c r="G269" t="str">
        <f t="shared" si="4"/>
        <v>39,988904 - 41,75718</v>
      </c>
    </row>
    <row r="270" spans="1:7" x14ac:dyDescent="0.25">
      <c r="A270" t="s">
        <v>550</v>
      </c>
      <c r="B270" t="s">
        <v>551</v>
      </c>
      <c r="C270" t="s">
        <v>1872</v>
      </c>
      <c r="D270" t="s">
        <v>405</v>
      </c>
      <c r="E270">
        <v>36.60698</v>
      </c>
      <c r="F270">
        <v>34.312587999999998</v>
      </c>
      <c r="G270" t="str">
        <f t="shared" si="4"/>
        <v>36,60698 - 34,312588</v>
      </c>
    </row>
    <row r="271" spans="1:7" x14ac:dyDescent="0.25">
      <c r="A271" t="s">
        <v>552</v>
      </c>
      <c r="B271" t="s">
        <v>553</v>
      </c>
      <c r="C271" t="s">
        <v>1658</v>
      </c>
      <c r="D271" t="s">
        <v>1657</v>
      </c>
      <c r="E271">
        <v>37.868637999999997</v>
      </c>
      <c r="F271">
        <v>32.552506000000001</v>
      </c>
      <c r="G271" t="str">
        <f t="shared" si="4"/>
        <v>37,868638 - 32,552506</v>
      </c>
    </row>
    <row r="272" spans="1:7" x14ac:dyDescent="0.25">
      <c r="A272" t="s">
        <v>554</v>
      </c>
      <c r="B272" t="s">
        <v>555</v>
      </c>
      <c r="C272" t="s">
        <v>1742</v>
      </c>
      <c r="D272" t="s">
        <v>124</v>
      </c>
      <c r="E272">
        <v>41.274844000000002</v>
      </c>
      <c r="F272">
        <v>31.486436000000001</v>
      </c>
      <c r="G272" t="str">
        <f t="shared" si="4"/>
        <v>41,274844 - 31,486436</v>
      </c>
    </row>
    <row r="273" spans="1:7" x14ac:dyDescent="0.25">
      <c r="A273" t="s">
        <v>556</v>
      </c>
      <c r="B273" t="s">
        <v>557</v>
      </c>
      <c r="C273" t="s">
        <v>1856</v>
      </c>
      <c r="D273" t="s">
        <v>371</v>
      </c>
      <c r="E273">
        <v>37.5243331012</v>
      </c>
      <c r="F273">
        <v>34.035921017500002</v>
      </c>
      <c r="G273" t="str">
        <f t="shared" si="4"/>
        <v>37,5243331012 - 34,0359210175</v>
      </c>
    </row>
    <row r="274" spans="1:7" x14ac:dyDescent="0.25">
      <c r="A274" t="s">
        <v>558</v>
      </c>
      <c r="B274" t="s">
        <v>559</v>
      </c>
      <c r="C274" t="s">
        <v>1753</v>
      </c>
      <c r="D274" t="s">
        <v>149</v>
      </c>
      <c r="E274">
        <v>41.880840999999997</v>
      </c>
      <c r="F274">
        <v>34.904895000000003</v>
      </c>
      <c r="G274" t="str">
        <f t="shared" si="4"/>
        <v>41,880841 - 34,904895</v>
      </c>
    </row>
    <row r="275" spans="1:7" x14ac:dyDescent="0.25">
      <c r="A275" t="s">
        <v>560</v>
      </c>
      <c r="B275" t="s">
        <v>561</v>
      </c>
      <c r="C275" t="s">
        <v>2057</v>
      </c>
      <c r="D275" t="s">
        <v>1556</v>
      </c>
      <c r="E275">
        <v>38.269998457506865</v>
      </c>
      <c r="F275">
        <v>39.752959873262697</v>
      </c>
      <c r="G275" t="str">
        <f t="shared" si="4"/>
        <v>38,2699984575069 - 39,7529598732627</v>
      </c>
    </row>
    <row r="276" spans="1:7" x14ac:dyDescent="0.25">
      <c r="A276" t="s">
        <v>562</v>
      </c>
      <c r="B276" t="s">
        <v>563</v>
      </c>
      <c r="C276" t="s">
        <v>1274</v>
      </c>
      <c r="D276" t="s">
        <v>1273</v>
      </c>
      <c r="E276">
        <v>38.749828999999998</v>
      </c>
      <c r="F276">
        <v>35.402219000000002</v>
      </c>
      <c r="G276" t="str">
        <f t="shared" si="4"/>
        <v>38,749829 - 35,402219</v>
      </c>
    </row>
    <row r="277" spans="1:7" x14ac:dyDescent="0.25">
      <c r="A277" t="s">
        <v>564</v>
      </c>
      <c r="B277" t="s">
        <v>565</v>
      </c>
      <c r="C277" t="s">
        <v>1881</v>
      </c>
      <c r="D277" t="s">
        <v>426</v>
      </c>
      <c r="E277">
        <v>36.956153</v>
      </c>
      <c r="F277">
        <v>36.198551000000002</v>
      </c>
      <c r="G277" t="str">
        <f t="shared" si="4"/>
        <v>36,956153 - 36,198551</v>
      </c>
    </row>
    <row r="278" spans="1:7" x14ac:dyDescent="0.25">
      <c r="A278" t="s">
        <v>566</v>
      </c>
      <c r="B278" t="s">
        <v>567</v>
      </c>
      <c r="C278" t="s">
        <v>1793</v>
      </c>
      <c r="D278" t="s">
        <v>233</v>
      </c>
      <c r="E278">
        <v>39.732306999999999</v>
      </c>
      <c r="F278">
        <v>39.534945</v>
      </c>
      <c r="G278" t="str">
        <f t="shared" si="4"/>
        <v>39,732307 - 39,534945</v>
      </c>
    </row>
    <row r="279" spans="1:7" x14ac:dyDescent="0.25">
      <c r="A279" t="s">
        <v>568</v>
      </c>
      <c r="B279" t="s">
        <v>569</v>
      </c>
      <c r="C279" t="s">
        <v>1796</v>
      </c>
      <c r="D279" t="s">
        <v>241</v>
      </c>
      <c r="E279">
        <v>39.960839999999997</v>
      </c>
      <c r="F279">
        <v>41.220371</v>
      </c>
      <c r="G279" t="str">
        <f t="shared" si="4"/>
        <v>39,96084 - 41,220371</v>
      </c>
    </row>
    <row r="280" spans="1:7" x14ac:dyDescent="0.25">
      <c r="A280" t="s">
        <v>570</v>
      </c>
      <c r="B280" t="s">
        <v>571</v>
      </c>
      <c r="C280" t="s">
        <v>1216</v>
      </c>
      <c r="D280" t="s">
        <v>1215</v>
      </c>
      <c r="E280">
        <v>38.288176999999997</v>
      </c>
      <c r="F280">
        <v>31.918683999999999</v>
      </c>
      <c r="G280" t="str">
        <f t="shared" si="4"/>
        <v>38,288177 - 31,918684</v>
      </c>
    </row>
    <row r="281" spans="1:7" x14ac:dyDescent="0.25">
      <c r="A281" t="s">
        <v>572</v>
      </c>
      <c r="B281" t="s">
        <v>573</v>
      </c>
      <c r="C281" t="s">
        <v>1398</v>
      </c>
      <c r="D281" t="s">
        <v>1397</v>
      </c>
      <c r="E281">
        <v>38.513674999999999</v>
      </c>
      <c r="F281">
        <v>43.377628000000001</v>
      </c>
      <c r="G281" t="str">
        <f t="shared" si="4"/>
        <v>38,513675 - 43,377628</v>
      </c>
    </row>
    <row r="282" spans="1:7" x14ac:dyDescent="0.25">
      <c r="A282" t="s">
        <v>574</v>
      </c>
      <c r="B282" t="s">
        <v>575</v>
      </c>
      <c r="C282" t="s">
        <v>1394</v>
      </c>
      <c r="D282" t="s">
        <v>1393</v>
      </c>
      <c r="E282">
        <v>38.513674999999999</v>
      </c>
      <c r="F282">
        <v>43.377628000000001</v>
      </c>
      <c r="G282" t="str">
        <f t="shared" si="4"/>
        <v>38,513675 - 43,377628</v>
      </c>
    </row>
    <row r="283" spans="1:7" x14ac:dyDescent="0.25">
      <c r="A283" t="s">
        <v>576</v>
      </c>
      <c r="B283" t="s">
        <v>577</v>
      </c>
      <c r="C283" t="s">
        <v>1276</v>
      </c>
      <c r="D283" t="s">
        <v>1275</v>
      </c>
      <c r="E283">
        <v>41.196451000000003</v>
      </c>
      <c r="F283">
        <v>32.625377</v>
      </c>
      <c r="G283" t="str">
        <f t="shared" si="4"/>
        <v>41,196451 - 32,625377</v>
      </c>
    </row>
    <row r="284" spans="1:7" x14ac:dyDescent="0.25">
      <c r="A284" t="s">
        <v>578</v>
      </c>
      <c r="B284" t="s">
        <v>579</v>
      </c>
      <c r="C284" t="s">
        <v>860</v>
      </c>
      <c r="D284" t="s">
        <v>859</v>
      </c>
      <c r="E284">
        <v>40.766106999999998</v>
      </c>
      <c r="F284">
        <v>29.421278999999998</v>
      </c>
      <c r="G284" t="str">
        <f t="shared" si="4"/>
        <v>40,766107 - 29,421279</v>
      </c>
    </row>
    <row r="285" spans="1:7" x14ac:dyDescent="0.25">
      <c r="A285" t="s">
        <v>580</v>
      </c>
      <c r="B285" t="s">
        <v>581</v>
      </c>
      <c r="C285" t="s">
        <v>1604</v>
      </c>
      <c r="D285" t="s">
        <v>1603</v>
      </c>
      <c r="E285">
        <v>40.961421999999999</v>
      </c>
      <c r="F285">
        <v>32.555562199999997</v>
      </c>
      <c r="G285" t="str">
        <f t="shared" si="4"/>
        <v>40,961422 - 32,5555622</v>
      </c>
    </row>
    <row r="286" spans="1:7" x14ac:dyDescent="0.25">
      <c r="A286" t="s">
        <v>582</v>
      </c>
      <c r="B286" t="s">
        <v>583</v>
      </c>
      <c r="C286" t="s">
        <v>2082</v>
      </c>
      <c r="D286" t="s">
        <v>136</v>
      </c>
      <c r="E286">
        <v>39.775838</v>
      </c>
      <c r="F286">
        <v>30.553260000000002</v>
      </c>
      <c r="G286" t="str">
        <f t="shared" si="4"/>
        <v>39,775838 - 30,55326</v>
      </c>
    </row>
    <row r="287" spans="1:7" x14ac:dyDescent="0.25">
      <c r="A287" t="s">
        <v>585</v>
      </c>
      <c r="B287" t="s">
        <v>586</v>
      </c>
      <c r="C287" t="s">
        <v>121</v>
      </c>
      <c r="D287" t="s">
        <v>119</v>
      </c>
      <c r="E287">
        <v>39.779471000000001</v>
      </c>
      <c r="F287">
        <v>30.507594000000001</v>
      </c>
      <c r="G287" t="str">
        <f t="shared" si="4"/>
        <v>39,779471 - 30,507594</v>
      </c>
    </row>
    <row r="288" spans="1:7" x14ac:dyDescent="0.25">
      <c r="A288" t="s">
        <v>587</v>
      </c>
      <c r="B288" t="s">
        <v>588</v>
      </c>
      <c r="C288" t="s">
        <v>1882</v>
      </c>
      <c r="D288" t="s">
        <v>428</v>
      </c>
      <c r="E288">
        <v>40.949263999999999</v>
      </c>
      <c r="F288">
        <v>38.712814000000002</v>
      </c>
      <c r="G288" t="str">
        <f t="shared" si="4"/>
        <v>40,949264 - 38,712814</v>
      </c>
    </row>
    <row r="289" spans="1:7" x14ac:dyDescent="0.25">
      <c r="A289" t="s">
        <v>589</v>
      </c>
      <c r="B289" t="s">
        <v>590</v>
      </c>
      <c r="C289" t="s">
        <v>2081</v>
      </c>
      <c r="D289" t="s">
        <v>1694</v>
      </c>
      <c r="E289">
        <v>37.427382999999999</v>
      </c>
      <c r="F289">
        <v>41.338512000000001</v>
      </c>
      <c r="G289" t="str">
        <f t="shared" si="4"/>
        <v>37,427383 - 41,338512</v>
      </c>
    </row>
    <row r="290" spans="1:7" x14ac:dyDescent="0.25">
      <c r="A290" t="s">
        <v>591</v>
      </c>
      <c r="B290" t="s">
        <v>592</v>
      </c>
      <c r="C290" t="s">
        <v>1076</v>
      </c>
      <c r="D290" t="s">
        <v>1075</v>
      </c>
      <c r="E290">
        <v>38.358341000000003</v>
      </c>
      <c r="F290">
        <v>33.983652999999997</v>
      </c>
      <c r="G290" t="str">
        <f t="shared" si="4"/>
        <v>38,358341 - 33,983653</v>
      </c>
    </row>
    <row r="291" spans="1:7" x14ac:dyDescent="0.25">
      <c r="A291" t="s">
        <v>593</v>
      </c>
      <c r="B291" t="s">
        <v>594</v>
      </c>
      <c r="C291" t="s">
        <v>1615</v>
      </c>
      <c r="D291" t="s">
        <v>1614</v>
      </c>
      <c r="E291">
        <v>39.736673000000003</v>
      </c>
      <c r="F291">
        <v>36.996794000000001</v>
      </c>
      <c r="G291" t="str">
        <f t="shared" si="4"/>
        <v>39,736673 - 36,996794</v>
      </c>
    </row>
    <row r="292" spans="1:7" x14ac:dyDescent="0.25">
      <c r="A292" t="s">
        <v>595</v>
      </c>
      <c r="B292" t="s">
        <v>596</v>
      </c>
      <c r="C292" t="s">
        <v>2030</v>
      </c>
      <c r="D292" t="s">
        <v>1381</v>
      </c>
      <c r="E292">
        <v>38.589663000000002</v>
      </c>
      <c r="F292">
        <v>34.678972000000002</v>
      </c>
      <c r="G292" t="str">
        <f t="shared" si="4"/>
        <v>38,589663 - 34,678972</v>
      </c>
    </row>
    <row r="293" spans="1:7" x14ac:dyDescent="0.25">
      <c r="A293" t="s">
        <v>598</v>
      </c>
      <c r="B293" t="s">
        <v>599</v>
      </c>
      <c r="C293" t="s">
        <v>1509</v>
      </c>
      <c r="D293" t="s">
        <v>1508</v>
      </c>
      <c r="E293">
        <v>38.949807</v>
      </c>
      <c r="F293">
        <v>29</v>
      </c>
      <c r="G293" t="str">
        <f t="shared" si="4"/>
        <v>38,949807 - 29</v>
      </c>
    </row>
    <row r="294" spans="1:7" x14ac:dyDescent="0.25">
      <c r="A294" t="s">
        <v>600</v>
      </c>
      <c r="B294" t="s">
        <v>601</v>
      </c>
      <c r="C294" t="s">
        <v>1976</v>
      </c>
      <c r="D294" t="s">
        <v>837</v>
      </c>
      <c r="E294">
        <v>41.064849000000002</v>
      </c>
      <c r="F294">
        <v>39.141770999999999</v>
      </c>
      <c r="G294" t="str">
        <f t="shared" si="4"/>
        <v>41,064849 - 39,141771</v>
      </c>
    </row>
    <row r="295" spans="1:7" x14ac:dyDescent="0.25">
      <c r="A295" t="s">
        <v>602</v>
      </c>
      <c r="B295" t="s">
        <v>603</v>
      </c>
      <c r="C295" t="s">
        <v>1907</v>
      </c>
      <c r="D295" t="s">
        <v>480</v>
      </c>
      <c r="E295">
        <v>39.786369999999998</v>
      </c>
      <c r="F295">
        <v>26.342017999999999</v>
      </c>
      <c r="G295" t="str">
        <f t="shared" si="4"/>
        <v>39,78637 - 26,342018</v>
      </c>
    </row>
    <row r="296" spans="1:7" x14ac:dyDescent="0.25">
      <c r="A296" t="s">
        <v>604</v>
      </c>
      <c r="B296" t="s">
        <v>605</v>
      </c>
      <c r="C296" t="s">
        <v>2040</v>
      </c>
      <c r="D296" t="s">
        <v>1451</v>
      </c>
      <c r="E296">
        <v>41.453181000000001</v>
      </c>
      <c r="F296">
        <v>31.776978</v>
      </c>
      <c r="G296" t="str">
        <f t="shared" si="4"/>
        <v>41,453181 - 31,776978</v>
      </c>
    </row>
    <row r="297" spans="1:7" x14ac:dyDescent="0.25">
      <c r="A297" t="s">
        <v>606</v>
      </c>
      <c r="B297" t="s">
        <v>607</v>
      </c>
      <c r="C297" t="s">
        <v>1855</v>
      </c>
      <c r="D297" t="s">
        <v>367</v>
      </c>
      <c r="E297">
        <v>41.034556000000002</v>
      </c>
      <c r="F297">
        <v>37.494224000000003</v>
      </c>
      <c r="G297" t="str">
        <f t="shared" si="4"/>
        <v>41,034556 - 37,494224</v>
      </c>
    </row>
    <row r="298" spans="1:7" x14ac:dyDescent="0.25">
      <c r="A298" t="s">
        <v>609</v>
      </c>
      <c r="B298" t="s">
        <v>610</v>
      </c>
      <c r="C298" t="s">
        <v>1854</v>
      </c>
      <c r="D298" t="s">
        <v>365</v>
      </c>
      <c r="E298">
        <v>36.623781999999999</v>
      </c>
      <c r="F298">
        <v>29.13129</v>
      </c>
      <c r="G298" t="str">
        <f t="shared" si="4"/>
        <v>36,623782 - 29,13129</v>
      </c>
    </row>
    <row r="299" spans="1:7" x14ac:dyDescent="0.25">
      <c r="A299" t="s">
        <v>612</v>
      </c>
      <c r="B299" t="s">
        <v>613</v>
      </c>
      <c r="C299" t="s">
        <v>973</v>
      </c>
      <c r="D299" t="s">
        <v>972</v>
      </c>
      <c r="E299">
        <v>41.273806999999998</v>
      </c>
      <c r="F299">
        <v>41.143241000000003</v>
      </c>
      <c r="G299" t="str">
        <f t="shared" si="4"/>
        <v>41,273807 - 41,143241</v>
      </c>
    </row>
    <row r="300" spans="1:7" x14ac:dyDescent="0.25">
      <c r="A300" t="s">
        <v>615</v>
      </c>
      <c r="B300" t="s">
        <v>616</v>
      </c>
      <c r="C300" t="s">
        <v>1718</v>
      </c>
      <c r="D300" t="s">
        <v>43</v>
      </c>
      <c r="E300">
        <v>36.300238</v>
      </c>
      <c r="F300">
        <v>30.142817999999998</v>
      </c>
      <c r="G300" t="str">
        <f t="shared" si="4"/>
        <v>36,300238 - 30,142818</v>
      </c>
    </row>
    <row r="301" spans="1:7" x14ac:dyDescent="0.25">
      <c r="A301" t="s">
        <v>618</v>
      </c>
      <c r="B301" t="s">
        <v>619</v>
      </c>
      <c r="C301" t="s">
        <v>1809</v>
      </c>
      <c r="D301" t="s">
        <v>267</v>
      </c>
      <c r="E301">
        <v>37.102738760975335</v>
      </c>
      <c r="F301">
        <v>37.398955384166136</v>
      </c>
      <c r="G301" t="str">
        <f t="shared" si="4"/>
        <v>37,1027387609753 - 37,3989553841661</v>
      </c>
    </row>
    <row r="302" spans="1:7" x14ac:dyDescent="0.25">
      <c r="A302" t="s">
        <v>621</v>
      </c>
      <c r="B302" t="s">
        <v>622</v>
      </c>
      <c r="C302" t="s">
        <v>1728</v>
      </c>
      <c r="D302" t="s">
        <v>65</v>
      </c>
      <c r="E302">
        <v>36.269829999999999</v>
      </c>
      <c r="F302">
        <v>32.313830000000003</v>
      </c>
      <c r="G302" t="str">
        <f t="shared" si="4"/>
        <v>36,26983 - 32,31383</v>
      </c>
    </row>
    <row r="303" spans="1:7" x14ac:dyDescent="0.25">
      <c r="A303" t="s">
        <v>624</v>
      </c>
      <c r="B303" t="s">
        <v>625</v>
      </c>
      <c r="C303" t="s">
        <v>1534</v>
      </c>
      <c r="D303" t="s">
        <v>1532</v>
      </c>
      <c r="E303">
        <v>36.230395220911376</v>
      </c>
      <c r="F303">
        <v>32.376414440415566</v>
      </c>
      <c r="G303" t="str">
        <f t="shared" si="4"/>
        <v>36,2303952209114 - 32,3764144404156</v>
      </c>
    </row>
    <row r="304" spans="1:7" x14ac:dyDescent="0.25">
      <c r="A304" t="s">
        <v>627</v>
      </c>
      <c r="B304" t="s">
        <v>628</v>
      </c>
      <c r="C304" t="s">
        <v>1665</v>
      </c>
      <c r="D304" t="s">
        <v>1663</v>
      </c>
      <c r="E304">
        <v>36.262640836177233</v>
      </c>
      <c r="F304">
        <v>32.320601267583342</v>
      </c>
      <c r="G304" t="str">
        <f t="shared" si="4"/>
        <v>36,2626408361772 - 32,3206012675833</v>
      </c>
    </row>
    <row r="305" spans="1:7" x14ac:dyDescent="0.25">
      <c r="A305" t="s">
        <v>630</v>
      </c>
      <c r="B305" t="s">
        <v>631</v>
      </c>
      <c r="C305" t="s">
        <v>1078</v>
      </c>
      <c r="D305" t="s">
        <v>1077</v>
      </c>
      <c r="E305">
        <v>38.790436</v>
      </c>
      <c r="F305">
        <v>30.510663999999998</v>
      </c>
      <c r="G305" t="str">
        <f t="shared" si="4"/>
        <v>38,790436 - 30,510664</v>
      </c>
    </row>
    <row r="306" spans="1:7" x14ac:dyDescent="0.25">
      <c r="A306" t="s">
        <v>633</v>
      </c>
      <c r="B306" t="s">
        <v>634</v>
      </c>
      <c r="C306" t="s">
        <v>759</v>
      </c>
      <c r="D306" t="s">
        <v>757</v>
      </c>
      <c r="E306">
        <v>38.934918000000003</v>
      </c>
      <c r="F306">
        <v>30.503544999999999</v>
      </c>
      <c r="G306" t="str">
        <f t="shared" si="4"/>
        <v>38,934918 - 30,503545</v>
      </c>
    </row>
    <row r="307" spans="1:7" x14ac:dyDescent="0.25">
      <c r="A307" t="s">
        <v>636</v>
      </c>
      <c r="B307" t="s">
        <v>637</v>
      </c>
      <c r="C307" t="s">
        <v>1710</v>
      </c>
      <c r="D307" t="s">
        <v>13</v>
      </c>
      <c r="E307">
        <v>40.794983999999999</v>
      </c>
      <c r="F307">
        <v>29.459427000000002</v>
      </c>
      <c r="G307" t="str">
        <f t="shared" si="4"/>
        <v>40,794984 - 29,459427</v>
      </c>
    </row>
    <row r="308" spans="1:7" x14ac:dyDescent="0.25">
      <c r="A308" t="s">
        <v>639</v>
      </c>
      <c r="B308" t="s">
        <v>640</v>
      </c>
      <c r="C308" t="s">
        <v>1264</v>
      </c>
      <c r="D308" t="s">
        <v>1263</v>
      </c>
      <c r="E308">
        <v>37.780878000000001</v>
      </c>
      <c r="F308">
        <v>30.545135999999999</v>
      </c>
      <c r="G308" t="str">
        <f t="shared" si="4"/>
        <v>37,780878 - 30,545136</v>
      </c>
    </row>
    <row r="309" spans="1:7" x14ac:dyDescent="0.25">
      <c r="A309" t="s">
        <v>642</v>
      </c>
      <c r="B309" t="s">
        <v>643</v>
      </c>
      <c r="C309" t="s">
        <v>1910</v>
      </c>
      <c r="D309" t="s">
        <v>486</v>
      </c>
      <c r="E309">
        <v>40.407460999999998</v>
      </c>
      <c r="F309">
        <v>26.664517</v>
      </c>
      <c r="G309" t="str">
        <f t="shared" si="4"/>
        <v>40,407461 - 26,664517</v>
      </c>
    </row>
    <row r="310" spans="1:7" x14ac:dyDescent="0.25">
      <c r="A310" t="s">
        <v>645</v>
      </c>
      <c r="B310" t="s">
        <v>646</v>
      </c>
      <c r="C310" t="s">
        <v>1853</v>
      </c>
      <c r="D310" t="s">
        <v>363</v>
      </c>
      <c r="E310">
        <v>40.423369000000001</v>
      </c>
      <c r="F310">
        <v>29.161678999999999</v>
      </c>
      <c r="G310" t="str">
        <f t="shared" si="4"/>
        <v>40,423369 - 29,161679</v>
      </c>
    </row>
    <row r="311" spans="1:7" x14ac:dyDescent="0.25">
      <c r="A311" t="s">
        <v>648</v>
      </c>
      <c r="B311" t="s">
        <v>649</v>
      </c>
      <c r="C311" t="s">
        <v>1420</v>
      </c>
      <c r="D311" t="s">
        <v>1419</v>
      </c>
      <c r="E311">
        <v>38.289577000000001</v>
      </c>
      <c r="F311">
        <v>31.177681</v>
      </c>
      <c r="G311" t="str">
        <f t="shared" si="4"/>
        <v>38,289577 - 31,177681</v>
      </c>
    </row>
    <row r="312" spans="1:7" x14ac:dyDescent="0.25">
      <c r="A312" t="s">
        <v>651</v>
      </c>
      <c r="B312" t="s">
        <v>652</v>
      </c>
      <c r="C312" t="s">
        <v>1348</v>
      </c>
      <c r="D312" t="s">
        <v>1347</v>
      </c>
      <c r="E312">
        <v>37.950322999999997</v>
      </c>
      <c r="F312">
        <v>32.509435000000003</v>
      </c>
      <c r="G312" t="str">
        <f t="shared" si="4"/>
        <v>37,950323 - 32,509435</v>
      </c>
    </row>
    <row r="313" spans="1:7" x14ac:dyDescent="0.25">
      <c r="A313" t="s">
        <v>654</v>
      </c>
      <c r="B313" t="s">
        <v>655</v>
      </c>
      <c r="C313" t="s">
        <v>1977</v>
      </c>
      <c r="D313" t="s">
        <v>839</v>
      </c>
      <c r="E313">
        <v>40.797272999999997</v>
      </c>
      <c r="F313">
        <v>32.202976999999997</v>
      </c>
      <c r="G313" t="str">
        <f t="shared" si="4"/>
        <v>40,797273 - 32,202977</v>
      </c>
    </row>
    <row r="314" spans="1:7" x14ac:dyDescent="0.25">
      <c r="A314" t="s">
        <v>657</v>
      </c>
      <c r="B314" t="s">
        <v>658</v>
      </c>
      <c r="C314" t="s">
        <v>1489</v>
      </c>
      <c r="D314" t="s">
        <v>1488</v>
      </c>
      <c r="E314">
        <v>40.253802</v>
      </c>
      <c r="F314">
        <v>27.343890999999999</v>
      </c>
      <c r="G314" t="str">
        <f t="shared" si="4"/>
        <v>40,253802 - 27,343891</v>
      </c>
    </row>
    <row r="315" spans="1:7" x14ac:dyDescent="0.25">
      <c r="A315" t="s">
        <v>660</v>
      </c>
      <c r="B315" t="s">
        <v>661</v>
      </c>
      <c r="C315" t="s">
        <v>1752</v>
      </c>
      <c r="D315" t="s">
        <v>145</v>
      </c>
      <c r="E315">
        <v>41.802286810200002</v>
      </c>
      <c r="F315">
        <v>35.194911579500001</v>
      </c>
      <c r="G315" t="str">
        <f t="shared" si="4"/>
        <v>41,8022868102 - 35,1949115795</v>
      </c>
    </row>
    <row r="316" spans="1:7" x14ac:dyDescent="0.25">
      <c r="A316" t="s">
        <v>663</v>
      </c>
      <c r="B316" t="s">
        <v>664</v>
      </c>
      <c r="C316" t="s">
        <v>1913</v>
      </c>
      <c r="D316" t="s">
        <v>492</v>
      </c>
      <c r="E316">
        <v>38.296847999999997</v>
      </c>
      <c r="F316">
        <v>43.109476999999998</v>
      </c>
      <c r="G316" t="str">
        <f t="shared" si="4"/>
        <v>38,296848 - 43,109477</v>
      </c>
    </row>
    <row r="317" spans="1:7" x14ac:dyDescent="0.25">
      <c r="A317" t="s">
        <v>666</v>
      </c>
      <c r="B317" t="s">
        <v>667</v>
      </c>
      <c r="C317" t="s">
        <v>1914</v>
      </c>
      <c r="D317" t="s">
        <v>494</v>
      </c>
      <c r="E317">
        <v>39.807219000000003</v>
      </c>
      <c r="F317">
        <v>26.202071</v>
      </c>
      <c r="G317" t="str">
        <f t="shared" si="4"/>
        <v>39,807219 - 26,202071</v>
      </c>
    </row>
    <row r="318" spans="1:7" x14ac:dyDescent="0.25">
      <c r="A318" t="s">
        <v>669</v>
      </c>
      <c r="B318" t="s">
        <v>670</v>
      </c>
      <c r="C318" t="s">
        <v>497</v>
      </c>
      <c r="D318" t="s">
        <v>496</v>
      </c>
      <c r="E318">
        <v>39.819392000000001</v>
      </c>
      <c r="F318">
        <v>26.164771000000002</v>
      </c>
      <c r="G318" t="str">
        <f t="shared" si="4"/>
        <v>39,819392 - 26,164771</v>
      </c>
    </row>
    <row r="319" spans="1:7" x14ac:dyDescent="0.25">
      <c r="A319" t="s">
        <v>671</v>
      </c>
      <c r="B319" t="s">
        <v>672</v>
      </c>
      <c r="C319" t="s">
        <v>1098</v>
      </c>
      <c r="D319" t="s">
        <v>1097</v>
      </c>
      <c r="E319">
        <v>39.918173000000003</v>
      </c>
      <c r="F319">
        <v>32.812539000000001</v>
      </c>
      <c r="G319" t="str">
        <f t="shared" si="4"/>
        <v>39,918173 - 32,812539</v>
      </c>
    </row>
    <row r="320" spans="1:7" x14ac:dyDescent="0.25">
      <c r="A320" t="s">
        <v>674</v>
      </c>
      <c r="B320" t="s">
        <v>675</v>
      </c>
      <c r="C320" t="s">
        <v>1464</v>
      </c>
      <c r="D320" t="s">
        <v>1463</v>
      </c>
      <c r="E320">
        <v>41.453181000000001</v>
      </c>
      <c r="F320">
        <v>31.776978</v>
      </c>
      <c r="G320" t="str">
        <f t="shared" si="4"/>
        <v>41,453181 - 31,776978</v>
      </c>
    </row>
    <row r="321" spans="1:7" x14ac:dyDescent="0.25">
      <c r="A321" t="s">
        <v>677</v>
      </c>
      <c r="B321" t="s">
        <v>678</v>
      </c>
      <c r="C321" t="s">
        <v>1814</v>
      </c>
      <c r="D321" t="s">
        <v>276</v>
      </c>
      <c r="E321">
        <v>40.910710999999999</v>
      </c>
      <c r="F321">
        <v>38.345429000000003</v>
      </c>
      <c r="G321" t="str">
        <f t="shared" si="4"/>
        <v>40,910711 - 38,345429</v>
      </c>
    </row>
    <row r="322" spans="1:7" x14ac:dyDescent="0.25">
      <c r="A322" t="s">
        <v>680</v>
      </c>
      <c r="B322" t="s">
        <v>681</v>
      </c>
      <c r="C322" t="s">
        <v>1112</v>
      </c>
      <c r="D322" t="s">
        <v>1111</v>
      </c>
      <c r="E322">
        <v>39.918173000000003</v>
      </c>
      <c r="F322">
        <v>32.812539000000001</v>
      </c>
      <c r="G322" t="str">
        <f t="shared" ref="G322:G384" si="5">CONCATENATE(E322," - ",F322)</f>
        <v>39,918173 - 32,812539</v>
      </c>
    </row>
    <row r="323" spans="1:7" x14ac:dyDescent="0.25">
      <c r="A323" t="s">
        <v>683</v>
      </c>
      <c r="B323" t="s">
        <v>684</v>
      </c>
      <c r="C323" t="s">
        <v>1992</v>
      </c>
      <c r="D323" t="s">
        <v>932</v>
      </c>
      <c r="E323">
        <v>36.758304000000003</v>
      </c>
      <c r="F323">
        <v>28.934833999999999</v>
      </c>
      <c r="G323" t="str">
        <f t="shared" si="5"/>
        <v>36,758304 - 28,934834</v>
      </c>
    </row>
    <row r="324" spans="1:7" x14ac:dyDescent="0.25">
      <c r="A324" t="s">
        <v>686</v>
      </c>
      <c r="B324" t="s">
        <v>687</v>
      </c>
      <c r="C324" t="s">
        <v>1206</v>
      </c>
      <c r="D324" t="s">
        <v>1205</v>
      </c>
      <c r="E324">
        <v>36.623781999999999</v>
      </c>
      <c r="F324">
        <v>29.13129</v>
      </c>
      <c r="G324" t="str">
        <f t="shared" si="5"/>
        <v>36,623782 - 29,13129</v>
      </c>
    </row>
    <row r="325" spans="1:7" x14ac:dyDescent="0.25">
      <c r="A325" t="s">
        <v>689</v>
      </c>
      <c r="B325" t="s">
        <v>690</v>
      </c>
      <c r="C325" t="s">
        <v>1202</v>
      </c>
      <c r="D325" t="s">
        <v>1201</v>
      </c>
      <c r="E325">
        <v>36.623781999999999</v>
      </c>
      <c r="F325">
        <v>29.13129</v>
      </c>
      <c r="G325" t="str">
        <f t="shared" si="5"/>
        <v>36,623782 - 29,13129</v>
      </c>
    </row>
    <row r="326" spans="1:7" x14ac:dyDescent="0.25">
      <c r="A326" t="s">
        <v>692</v>
      </c>
      <c r="B326" t="s">
        <v>693</v>
      </c>
      <c r="C326" t="s">
        <v>1120</v>
      </c>
      <c r="D326" t="s">
        <v>1119</v>
      </c>
      <c r="E326">
        <v>37.694288999999998</v>
      </c>
      <c r="F326">
        <v>31.724256</v>
      </c>
      <c r="G326" t="str">
        <f t="shared" si="5"/>
        <v>37,694289 - 31,724256</v>
      </c>
    </row>
    <row r="327" spans="1:7" x14ac:dyDescent="0.25">
      <c r="A327" t="s">
        <v>695</v>
      </c>
      <c r="B327" t="s">
        <v>696</v>
      </c>
      <c r="C327" t="s">
        <v>744</v>
      </c>
      <c r="D327" t="s">
        <v>742</v>
      </c>
      <c r="E327">
        <v>39.160260000000001</v>
      </c>
      <c r="F327">
        <v>30.592806</v>
      </c>
      <c r="G327" t="str">
        <f t="shared" si="5"/>
        <v>39,16026 - 30,592806</v>
      </c>
    </row>
    <row r="328" spans="1:7" x14ac:dyDescent="0.25">
      <c r="A328" t="s">
        <v>700</v>
      </c>
      <c r="B328" t="s">
        <v>701</v>
      </c>
      <c r="C328" t="s">
        <v>1434</v>
      </c>
      <c r="D328" t="s">
        <v>727</v>
      </c>
      <c r="E328">
        <v>41.302930000000003</v>
      </c>
      <c r="F328">
        <v>32.104095000000001</v>
      </c>
      <c r="G328" t="str">
        <f t="shared" si="5"/>
        <v>41,30293 - 32,104095</v>
      </c>
    </row>
    <row r="329" spans="1:7" x14ac:dyDescent="0.25">
      <c r="A329" t="s">
        <v>703</v>
      </c>
      <c r="B329" t="s">
        <v>704</v>
      </c>
      <c r="C329" t="s">
        <v>1978</v>
      </c>
      <c r="D329" t="s">
        <v>841</v>
      </c>
      <c r="E329">
        <v>37.050182999999997</v>
      </c>
      <c r="F329">
        <v>28.357195999999998</v>
      </c>
      <c r="G329" t="str">
        <f t="shared" si="5"/>
        <v>37,050183 - 28,357196</v>
      </c>
    </row>
    <row r="330" spans="1:7" x14ac:dyDescent="0.25">
      <c r="A330" t="s">
        <v>706</v>
      </c>
      <c r="B330" t="s">
        <v>707</v>
      </c>
      <c r="C330" t="s">
        <v>2068</v>
      </c>
      <c r="D330" t="s">
        <v>1641</v>
      </c>
      <c r="E330">
        <v>38.022879199999998</v>
      </c>
      <c r="F330">
        <v>36.503607500000001</v>
      </c>
      <c r="G330" t="str">
        <f t="shared" si="5"/>
        <v>38,0228792 - 36,5036075</v>
      </c>
    </row>
    <row r="331" spans="1:7" x14ac:dyDescent="0.25">
      <c r="A331" t="s">
        <v>709</v>
      </c>
      <c r="B331" t="s">
        <v>710</v>
      </c>
      <c r="C331" t="s">
        <v>2028</v>
      </c>
      <c r="D331" t="s">
        <v>1203</v>
      </c>
      <c r="E331">
        <v>41.274844000000002</v>
      </c>
      <c r="F331">
        <v>31.486436000000001</v>
      </c>
      <c r="G331" t="str">
        <f t="shared" si="5"/>
        <v>41,274844 - 31,486436</v>
      </c>
    </row>
    <row r="332" spans="1:7" x14ac:dyDescent="0.25">
      <c r="A332" t="s">
        <v>712</v>
      </c>
      <c r="B332" t="s">
        <v>713</v>
      </c>
      <c r="C332" t="s">
        <v>1096</v>
      </c>
      <c r="D332" t="s">
        <v>1095</v>
      </c>
      <c r="E332">
        <v>39.918173000000003</v>
      </c>
      <c r="F332">
        <v>32.812539000000001</v>
      </c>
      <c r="G332" t="str">
        <f t="shared" si="5"/>
        <v>39,918173 - 32,812539</v>
      </c>
    </row>
    <row r="333" spans="1:7" x14ac:dyDescent="0.25">
      <c r="A333" t="s">
        <v>715</v>
      </c>
      <c r="B333" t="s">
        <v>716</v>
      </c>
      <c r="C333" t="s">
        <v>1852</v>
      </c>
      <c r="D333" t="s">
        <v>361</v>
      </c>
      <c r="E333">
        <v>40.715268999999999</v>
      </c>
      <c r="F333">
        <v>29.837364999999998</v>
      </c>
      <c r="G333" t="str">
        <f t="shared" si="5"/>
        <v>40,715269 - 29,837365</v>
      </c>
    </row>
    <row r="334" spans="1:7" x14ac:dyDescent="0.25">
      <c r="A334" t="s">
        <v>718</v>
      </c>
      <c r="B334" t="s">
        <v>719</v>
      </c>
      <c r="C334" t="s">
        <v>1104</v>
      </c>
      <c r="D334" t="s">
        <v>1103</v>
      </c>
      <c r="E334">
        <v>38.370234000000004</v>
      </c>
      <c r="F334">
        <v>31.438488</v>
      </c>
      <c r="G334" t="str">
        <f t="shared" si="5"/>
        <v>38,370234 - 31,438488</v>
      </c>
    </row>
    <row r="335" spans="1:7" x14ac:dyDescent="0.25">
      <c r="A335" t="s">
        <v>721</v>
      </c>
      <c r="B335" t="s">
        <v>722</v>
      </c>
      <c r="C335" t="s">
        <v>1979</v>
      </c>
      <c r="D335" t="s">
        <v>843</v>
      </c>
      <c r="E335">
        <v>37.140725000000003</v>
      </c>
      <c r="F335">
        <v>29.508934</v>
      </c>
      <c r="G335" t="str">
        <f t="shared" si="5"/>
        <v>37,140725 - 29,508934</v>
      </c>
    </row>
    <row r="336" spans="1:7" x14ac:dyDescent="0.25">
      <c r="A336" t="s">
        <v>724</v>
      </c>
      <c r="B336" t="s">
        <v>725</v>
      </c>
      <c r="C336" t="s">
        <v>935</v>
      </c>
      <c r="D336" t="s">
        <v>934</v>
      </c>
      <c r="E336">
        <v>37.158495000000002</v>
      </c>
      <c r="F336">
        <v>29.676969</v>
      </c>
      <c r="G336" t="str">
        <f t="shared" si="5"/>
        <v>37,158495 - 29,676969</v>
      </c>
    </row>
    <row r="337" spans="1:7" x14ac:dyDescent="0.25">
      <c r="A337" t="s">
        <v>727</v>
      </c>
      <c r="B337" t="s">
        <v>728</v>
      </c>
      <c r="C337" t="s">
        <v>1851</v>
      </c>
      <c r="D337" t="s">
        <v>359</v>
      </c>
      <c r="E337">
        <v>40.109591999999999</v>
      </c>
      <c r="F337">
        <v>27.649643000000001</v>
      </c>
      <c r="G337" t="str">
        <f t="shared" si="5"/>
        <v>40,109592 - 27,649643</v>
      </c>
    </row>
    <row r="338" spans="1:7" x14ac:dyDescent="0.25">
      <c r="A338" t="s">
        <v>729</v>
      </c>
      <c r="B338" t="s">
        <v>730</v>
      </c>
      <c r="C338" t="s">
        <v>1230</v>
      </c>
      <c r="D338" t="s">
        <v>1229</v>
      </c>
      <c r="E338">
        <v>37.780878000000001</v>
      </c>
      <c r="F338">
        <v>30.545135999999999</v>
      </c>
      <c r="G338" t="str">
        <f t="shared" si="5"/>
        <v>37,780878 - 30,545136</v>
      </c>
    </row>
    <row r="339" spans="1:7" x14ac:dyDescent="0.25">
      <c r="A339" t="s">
        <v>731</v>
      </c>
      <c r="B339" t="s">
        <v>732</v>
      </c>
      <c r="C339" t="s">
        <v>1918</v>
      </c>
      <c r="D339" t="s">
        <v>504</v>
      </c>
      <c r="E339">
        <v>41.034066000000003</v>
      </c>
      <c r="F339">
        <v>39.002625999999999</v>
      </c>
      <c r="G339" t="str">
        <f t="shared" si="5"/>
        <v>41,034066 - 39,002626</v>
      </c>
    </row>
    <row r="340" spans="1:7" x14ac:dyDescent="0.25">
      <c r="A340" t="s">
        <v>733</v>
      </c>
      <c r="B340" t="s">
        <v>734</v>
      </c>
      <c r="C340" t="s">
        <v>1920</v>
      </c>
      <c r="D340" t="s">
        <v>508</v>
      </c>
      <c r="E340">
        <v>38.643296999999997</v>
      </c>
      <c r="F340">
        <v>34.829532999999998</v>
      </c>
      <c r="G340" t="str">
        <f t="shared" si="5"/>
        <v>38,643297 - 34,829533</v>
      </c>
    </row>
    <row r="341" spans="1:7" x14ac:dyDescent="0.25">
      <c r="A341" t="s">
        <v>735</v>
      </c>
      <c r="B341" t="s">
        <v>736</v>
      </c>
      <c r="C341" t="s">
        <v>1306</v>
      </c>
      <c r="D341" t="s">
        <v>1305</v>
      </c>
      <c r="E341">
        <v>36.600906000000002</v>
      </c>
      <c r="F341">
        <v>30.543500999999999</v>
      </c>
      <c r="G341" t="str">
        <f t="shared" si="5"/>
        <v>36,600906 - 30,543501</v>
      </c>
    </row>
    <row r="342" spans="1:7" x14ac:dyDescent="0.25">
      <c r="A342" t="s">
        <v>738</v>
      </c>
      <c r="B342" t="s">
        <v>739</v>
      </c>
      <c r="C342" t="s">
        <v>1304</v>
      </c>
      <c r="D342" t="s">
        <v>1303</v>
      </c>
      <c r="E342">
        <v>36.600906000000002</v>
      </c>
      <c r="F342">
        <v>30.543500999999999</v>
      </c>
      <c r="G342" t="str">
        <f t="shared" si="5"/>
        <v>36,600906 - 30,543501</v>
      </c>
    </row>
    <row r="343" spans="1:7" x14ac:dyDescent="0.25">
      <c r="A343" t="s">
        <v>740</v>
      </c>
      <c r="B343" t="s">
        <v>741</v>
      </c>
      <c r="C343" t="s">
        <v>1300</v>
      </c>
      <c r="D343" t="s">
        <v>1299</v>
      </c>
      <c r="E343">
        <v>36.600906000000002</v>
      </c>
      <c r="F343">
        <v>30.543500999999999</v>
      </c>
      <c r="G343" t="str">
        <f t="shared" si="5"/>
        <v>36,600906 - 30,543501</v>
      </c>
    </row>
    <row r="344" spans="1:7" x14ac:dyDescent="0.25">
      <c r="A344" t="s">
        <v>742</v>
      </c>
      <c r="B344" t="s">
        <v>743</v>
      </c>
      <c r="C344" t="s">
        <v>846</v>
      </c>
      <c r="D344" t="s">
        <v>845</v>
      </c>
      <c r="E344">
        <v>37.228000999999999</v>
      </c>
      <c r="F344">
        <v>27.670051999999998</v>
      </c>
      <c r="G344" t="str">
        <f t="shared" si="5"/>
        <v>37,228001 - 27,670052</v>
      </c>
    </row>
    <row r="345" spans="1:7" x14ac:dyDescent="0.25">
      <c r="A345" t="s">
        <v>745</v>
      </c>
      <c r="B345" t="s">
        <v>746</v>
      </c>
      <c r="C345" t="s">
        <v>1921</v>
      </c>
      <c r="D345" t="s">
        <v>510</v>
      </c>
      <c r="E345">
        <v>38.741707900199998</v>
      </c>
      <c r="F345">
        <v>34.619617978900003</v>
      </c>
      <c r="G345" t="str">
        <f t="shared" si="5"/>
        <v>38,7417079002 - 34,6196179789</v>
      </c>
    </row>
    <row r="346" spans="1:7" x14ac:dyDescent="0.25">
      <c r="A346" t="s">
        <v>748</v>
      </c>
      <c r="B346" t="s">
        <v>749</v>
      </c>
      <c r="C346" t="s">
        <v>1519</v>
      </c>
      <c r="D346" t="s">
        <v>1518</v>
      </c>
      <c r="E346">
        <v>38.754165999999998</v>
      </c>
      <c r="F346">
        <v>34.616340000000001</v>
      </c>
      <c r="G346" t="str">
        <f t="shared" si="5"/>
        <v>38,754166 - 34,61634</v>
      </c>
    </row>
    <row r="347" spans="1:7" x14ac:dyDescent="0.25">
      <c r="A347" t="s">
        <v>751</v>
      </c>
      <c r="B347" t="s">
        <v>752</v>
      </c>
      <c r="C347" t="s">
        <v>1360</v>
      </c>
      <c r="D347" t="s">
        <v>1359</v>
      </c>
      <c r="E347">
        <v>38.589663000000002</v>
      </c>
      <c r="F347">
        <v>34.678972000000002</v>
      </c>
      <c r="G347" t="str">
        <f t="shared" si="5"/>
        <v>38,589663 - 34,678972</v>
      </c>
    </row>
    <row r="348" spans="1:7" x14ac:dyDescent="0.25">
      <c r="A348" t="s">
        <v>754</v>
      </c>
      <c r="B348" t="s">
        <v>755</v>
      </c>
      <c r="C348" t="s">
        <v>2026</v>
      </c>
      <c r="D348" t="s">
        <v>1193</v>
      </c>
      <c r="E348">
        <v>41.274844000000002</v>
      </c>
      <c r="F348">
        <v>31.486436000000001</v>
      </c>
      <c r="G348" t="str">
        <f t="shared" si="5"/>
        <v>41,274844 - 31,486436</v>
      </c>
    </row>
    <row r="349" spans="1:7" x14ac:dyDescent="0.25">
      <c r="A349" t="s">
        <v>757</v>
      </c>
      <c r="B349" t="s">
        <v>758</v>
      </c>
      <c r="C349" t="s">
        <v>806</v>
      </c>
      <c r="D349" t="s">
        <v>805</v>
      </c>
      <c r="E349">
        <v>38.0623</v>
      </c>
      <c r="F349">
        <v>27.009599999999999</v>
      </c>
      <c r="G349" t="str">
        <f t="shared" si="5"/>
        <v>38,0623 - 27,0096</v>
      </c>
    </row>
    <row r="350" spans="1:7" x14ac:dyDescent="0.25">
      <c r="A350" t="s">
        <v>760</v>
      </c>
      <c r="B350" t="s">
        <v>761</v>
      </c>
      <c r="C350" t="s">
        <v>1850</v>
      </c>
      <c r="D350" t="s">
        <v>357</v>
      </c>
      <c r="E350">
        <v>40.460653999999998</v>
      </c>
      <c r="F350">
        <v>39.470019999999998</v>
      </c>
      <c r="G350" t="str">
        <f t="shared" si="5"/>
        <v>40,460654 - 39,47002</v>
      </c>
    </row>
    <row r="351" spans="1:7" x14ac:dyDescent="0.25">
      <c r="A351" t="s">
        <v>762</v>
      </c>
      <c r="B351" t="s">
        <v>763</v>
      </c>
      <c r="C351" t="s">
        <v>1517</v>
      </c>
      <c r="D351" t="s">
        <v>1516</v>
      </c>
      <c r="E351">
        <v>38.829379000000003</v>
      </c>
      <c r="F351">
        <v>34.559421</v>
      </c>
      <c r="G351" t="str">
        <f t="shared" si="5"/>
        <v>38,829379 - 34,559421</v>
      </c>
    </row>
    <row r="352" spans="1:7" x14ac:dyDescent="0.25">
      <c r="A352" t="s">
        <v>765</v>
      </c>
      <c r="B352" t="s">
        <v>766</v>
      </c>
      <c r="C352" t="s">
        <v>1384</v>
      </c>
      <c r="D352" t="s">
        <v>1383</v>
      </c>
      <c r="E352">
        <v>38.589663000000002</v>
      </c>
      <c r="F352">
        <v>34.678972000000002</v>
      </c>
      <c r="G352" t="str">
        <f t="shared" si="5"/>
        <v>38,589663 - 34,678972</v>
      </c>
    </row>
    <row r="353" spans="1:7" x14ac:dyDescent="0.25">
      <c r="A353" t="s">
        <v>767</v>
      </c>
      <c r="B353" t="s">
        <v>768</v>
      </c>
      <c r="C353" t="s">
        <v>626</v>
      </c>
      <c r="D353" t="s">
        <v>624</v>
      </c>
      <c r="E353">
        <v>37.452086999999999</v>
      </c>
      <c r="F353">
        <v>31.862921</v>
      </c>
      <c r="G353" t="str">
        <f t="shared" si="5"/>
        <v>37,452087 - 31,862921</v>
      </c>
    </row>
    <row r="354" spans="1:7" x14ac:dyDescent="0.25">
      <c r="A354" t="s">
        <v>769</v>
      </c>
      <c r="B354" t="s">
        <v>770</v>
      </c>
      <c r="C354" t="s">
        <v>617</v>
      </c>
      <c r="D354" t="s">
        <v>615</v>
      </c>
      <c r="E354">
        <v>40.799321999999997</v>
      </c>
      <c r="F354">
        <v>32.048546000000002</v>
      </c>
      <c r="G354" t="str">
        <f t="shared" si="5"/>
        <v>40,799322 - 32,048546</v>
      </c>
    </row>
    <row r="355" spans="1:7" x14ac:dyDescent="0.25">
      <c r="A355" t="s">
        <v>771</v>
      </c>
      <c r="B355" t="s">
        <v>772</v>
      </c>
      <c r="C355" t="s">
        <v>1238</v>
      </c>
      <c r="D355" t="s">
        <v>1237</v>
      </c>
      <c r="E355">
        <v>36.623781999999999</v>
      </c>
      <c r="F355">
        <v>29.13129</v>
      </c>
      <c r="G355" t="str">
        <f t="shared" si="5"/>
        <v>36,623782 - 29,13129</v>
      </c>
    </row>
    <row r="356" spans="1:7" x14ac:dyDescent="0.25">
      <c r="A356" t="s">
        <v>773</v>
      </c>
      <c r="B356" t="s">
        <v>774</v>
      </c>
      <c r="C356" t="s">
        <v>2072</v>
      </c>
      <c r="D356" t="s">
        <v>1668</v>
      </c>
      <c r="E356">
        <v>39.587266999999997</v>
      </c>
      <c r="F356">
        <v>26.883924</v>
      </c>
      <c r="G356" t="str">
        <f t="shared" si="5"/>
        <v>39,587267 - 26,883924</v>
      </c>
    </row>
    <row r="357" spans="1:7" x14ac:dyDescent="0.25">
      <c r="A357" t="s">
        <v>775</v>
      </c>
      <c r="B357" t="s">
        <v>776</v>
      </c>
      <c r="C357" t="s">
        <v>1922</v>
      </c>
      <c r="D357" t="s">
        <v>512</v>
      </c>
      <c r="E357">
        <v>38.578398</v>
      </c>
      <c r="F357">
        <v>42.016474000000002</v>
      </c>
      <c r="G357" t="str">
        <f t="shared" si="5"/>
        <v>38,578398 - 42,016474</v>
      </c>
    </row>
    <row r="358" spans="1:7" x14ac:dyDescent="0.25">
      <c r="A358" t="s">
        <v>777</v>
      </c>
      <c r="B358" t="s">
        <v>778</v>
      </c>
      <c r="C358" t="s">
        <v>1923</v>
      </c>
      <c r="D358" t="s">
        <v>514</v>
      </c>
      <c r="E358">
        <v>38.720951999999997</v>
      </c>
      <c r="F358">
        <v>37.271777999999998</v>
      </c>
      <c r="G358" t="str">
        <f t="shared" si="5"/>
        <v>38,720952 - 37,271778</v>
      </c>
    </row>
    <row r="359" spans="1:7" x14ac:dyDescent="0.25">
      <c r="A359" t="s">
        <v>779</v>
      </c>
      <c r="B359" t="s">
        <v>780</v>
      </c>
      <c r="C359" t="s">
        <v>2073</v>
      </c>
      <c r="D359" t="s">
        <v>1670</v>
      </c>
      <c r="E359">
        <v>38.705266000000002</v>
      </c>
      <c r="F359">
        <v>37.404784999999997</v>
      </c>
      <c r="G359" t="str">
        <f t="shared" si="5"/>
        <v>38,705266 - 37,404785</v>
      </c>
    </row>
    <row r="360" spans="1:7" x14ac:dyDescent="0.25">
      <c r="A360" t="s">
        <v>781</v>
      </c>
      <c r="B360" t="s">
        <v>782</v>
      </c>
      <c r="C360" t="s">
        <v>1493</v>
      </c>
      <c r="D360" t="s">
        <v>1492</v>
      </c>
      <c r="E360">
        <v>40.292780999999998</v>
      </c>
      <c r="F360">
        <v>27.478009</v>
      </c>
      <c r="G360" t="str">
        <f t="shared" si="5"/>
        <v>40,292781 - 27,478009</v>
      </c>
    </row>
    <row r="361" spans="1:7" x14ac:dyDescent="0.25">
      <c r="A361" t="s">
        <v>783</v>
      </c>
      <c r="B361" t="s">
        <v>784</v>
      </c>
      <c r="C361" t="s">
        <v>1747</v>
      </c>
      <c r="D361" t="s">
        <v>134</v>
      </c>
      <c r="E361">
        <v>37.13574237893679</v>
      </c>
      <c r="F361">
        <v>27.582449563917567</v>
      </c>
      <c r="G361" t="str">
        <f t="shared" si="5"/>
        <v>37,1357423789368 - 27,5824495639176</v>
      </c>
    </row>
    <row r="362" spans="1:7" x14ac:dyDescent="0.25">
      <c r="A362" t="s">
        <v>785</v>
      </c>
      <c r="B362" t="s">
        <v>786</v>
      </c>
      <c r="C362" t="s">
        <v>1980</v>
      </c>
      <c r="D362" t="s">
        <v>847</v>
      </c>
      <c r="E362">
        <v>37.715924000000001</v>
      </c>
      <c r="F362">
        <v>27.230008999999999</v>
      </c>
      <c r="G362" t="str">
        <f t="shared" si="5"/>
        <v>37,715924 - 27,230009</v>
      </c>
    </row>
    <row r="363" spans="1:7" x14ac:dyDescent="0.25">
      <c r="A363" t="s">
        <v>787</v>
      </c>
      <c r="B363" t="s">
        <v>788</v>
      </c>
      <c r="C363" t="s">
        <v>1924</v>
      </c>
      <c r="D363" t="s">
        <v>516</v>
      </c>
      <c r="E363">
        <v>38.939827999999999</v>
      </c>
      <c r="F363">
        <v>34.557999000000002</v>
      </c>
      <c r="G363" t="str">
        <f t="shared" si="5"/>
        <v>38,939828 - 34,557999</v>
      </c>
    </row>
    <row r="364" spans="1:7" x14ac:dyDescent="0.25">
      <c r="A364" t="s">
        <v>789</v>
      </c>
      <c r="B364" t="s">
        <v>790</v>
      </c>
      <c r="C364" t="s">
        <v>1981</v>
      </c>
      <c r="D364" t="s">
        <v>849</v>
      </c>
      <c r="E364">
        <v>39.854714000000001</v>
      </c>
      <c r="F364">
        <v>37.395609999999998</v>
      </c>
      <c r="G364" t="str">
        <f t="shared" si="5"/>
        <v>39,854714 - 37,39561</v>
      </c>
    </row>
    <row r="365" spans="1:7" x14ac:dyDescent="0.25">
      <c r="A365" t="s">
        <v>791</v>
      </c>
      <c r="B365" t="s">
        <v>792</v>
      </c>
      <c r="C365" t="s">
        <v>668</v>
      </c>
      <c r="D365" t="s">
        <v>666</v>
      </c>
      <c r="E365">
        <v>39.990119</v>
      </c>
      <c r="F365">
        <v>41.527977</v>
      </c>
      <c r="G365" t="str">
        <f t="shared" si="5"/>
        <v>39,990119 - 41,527977</v>
      </c>
    </row>
    <row r="366" spans="1:7" x14ac:dyDescent="0.25">
      <c r="A366" t="s">
        <v>793</v>
      </c>
      <c r="B366" t="s">
        <v>794</v>
      </c>
      <c r="C366" t="s">
        <v>1318</v>
      </c>
      <c r="D366" t="s">
        <v>1317</v>
      </c>
      <c r="E366">
        <v>39.170558</v>
      </c>
      <c r="F366">
        <v>34.149225000000001</v>
      </c>
      <c r="G366" t="str">
        <f t="shared" si="5"/>
        <v>39,170558 - 34,149225</v>
      </c>
    </row>
    <row r="367" spans="1:7" x14ac:dyDescent="0.25">
      <c r="A367" t="s">
        <v>795</v>
      </c>
      <c r="B367" t="s">
        <v>796</v>
      </c>
      <c r="C367" t="s">
        <v>1294</v>
      </c>
      <c r="D367" t="s">
        <v>1293</v>
      </c>
      <c r="E367">
        <v>41.196451000000003</v>
      </c>
      <c r="F367">
        <v>32.625377</v>
      </c>
      <c r="G367" t="str">
        <f t="shared" si="5"/>
        <v>41,196451 - 32,625377</v>
      </c>
    </row>
    <row r="368" spans="1:7" x14ac:dyDescent="0.25">
      <c r="A368" t="s">
        <v>797</v>
      </c>
      <c r="B368" t="s">
        <v>798</v>
      </c>
      <c r="C368" t="s">
        <v>1296</v>
      </c>
      <c r="D368" t="s">
        <v>1295</v>
      </c>
      <c r="E368">
        <v>41.196451000000003</v>
      </c>
      <c r="F368">
        <v>32.625377</v>
      </c>
      <c r="G368" t="str">
        <f t="shared" si="5"/>
        <v>41,196451 - 32,625377</v>
      </c>
    </row>
    <row r="369" spans="1:7" x14ac:dyDescent="0.25">
      <c r="A369" t="s">
        <v>799</v>
      </c>
      <c r="B369" t="s">
        <v>800</v>
      </c>
      <c r="C369" t="s">
        <v>1168</v>
      </c>
      <c r="D369" t="s">
        <v>1167</v>
      </c>
      <c r="E369">
        <v>40.399422000000001</v>
      </c>
      <c r="F369">
        <v>27.794895</v>
      </c>
      <c r="G369" t="str">
        <f t="shared" si="5"/>
        <v>40,399422 - 27,794895</v>
      </c>
    </row>
    <row r="370" spans="1:7" x14ac:dyDescent="0.25">
      <c r="A370" t="s">
        <v>801</v>
      </c>
      <c r="B370" t="s">
        <v>802</v>
      </c>
      <c r="C370" t="s">
        <v>1816</v>
      </c>
      <c r="D370" t="s">
        <v>280</v>
      </c>
      <c r="E370">
        <v>36.2318966335</v>
      </c>
      <c r="F370">
        <v>36.137091140199999</v>
      </c>
      <c r="G370" t="str">
        <f t="shared" si="5"/>
        <v>36,2318966335 - 36,1370911402</v>
      </c>
    </row>
    <row r="371" spans="1:7" x14ac:dyDescent="0.25">
      <c r="A371" t="s">
        <v>803</v>
      </c>
      <c r="B371" t="s">
        <v>804</v>
      </c>
      <c r="C371" t="s">
        <v>1166</v>
      </c>
      <c r="D371" t="s">
        <v>1165</v>
      </c>
      <c r="E371">
        <v>40.399422000000001</v>
      </c>
      <c r="F371">
        <v>27.794895</v>
      </c>
      <c r="G371" t="str">
        <f t="shared" si="5"/>
        <v>40,399422 - 27,794895</v>
      </c>
    </row>
    <row r="372" spans="1:7" x14ac:dyDescent="0.25">
      <c r="A372" t="s">
        <v>805</v>
      </c>
      <c r="B372" t="s">
        <v>806</v>
      </c>
      <c r="C372" t="s">
        <v>1410</v>
      </c>
      <c r="D372" t="s">
        <v>1409</v>
      </c>
      <c r="E372">
        <v>38.513674999999999</v>
      </c>
      <c r="F372">
        <v>43.377628000000001</v>
      </c>
      <c r="G372" t="str">
        <f t="shared" si="5"/>
        <v>38,513675 - 43,377628</v>
      </c>
    </row>
    <row r="373" spans="1:7" x14ac:dyDescent="0.25">
      <c r="A373" t="s">
        <v>807</v>
      </c>
      <c r="B373" t="s">
        <v>808</v>
      </c>
      <c r="C373" t="s">
        <v>1572</v>
      </c>
      <c r="D373" t="s">
        <v>1571</v>
      </c>
      <c r="E373">
        <v>38.034100000000002</v>
      </c>
      <c r="F373">
        <v>27.073270000000001</v>
      </c>
      <c r="G373" t="str">
        <f t="shared" si="5"/>
        <v>38,0341 - 27,07327</v>
      </c>
    </row>
    <row r="374" spans="1:7" x14ac:dyDescent="0.25">
      <c r="A374" t="s">
        <v>809</v>
      </c>
      <c r="B374" t="s">
        <v>810</v>
      </c>
      <c r="C374" t="s">
        <v>852</v>
      </c>
      <c r="D374" t="s">
        <v>851</v>
      </c>
      <c r="E374">
        <v>39.552273</v>
      </c>
      <c r="F374">
        <v>27.100439000000001</v>
      </c>
      <c r="G374" t="str">
        <f t="shared" si="5"/>
        <v>39,552273 - 27,100439</v>
      </c>
    </row>
    <row r="375" spans="1:7" x14ac:dyDescent="0.25">
      <c r="A375" t="s">
        <v>811</v>
      </c>
      <c r="B375" t="s">
        <v>812</v>
      </c>
      <c r="C375" t="s">
        <v>91</v>
      </c>
      <c r="D375" t="s">
        <v>90</v>
      </c>
      <c r="E375">
        <v>41.548717000000003</v>
      </c>
      <c r="F375">
        <v>26.823661999999999</v>
      </c>
      <c r="G375" t="str">
        <f t="shared" si="5"/>
        <v>41,548717 - 26,823662</v>
      </c>
    </row>
    <row r="376" spans="1:7" x14ac:dyDescent="0.25">
      <c r="A376" t="s">
        <v>813</v>
      </c>
      <c r="B376" t="s">
        <v>814</v>
      </c>
      <c r="C376" t="s">
        <v>1925</v>
      </c>
      <c r="D376" t="s">
        <v>518</v>
      </c>
      <c r="E376">
        <v>40.961942999999998</v>
      </c>
      <c r="F376">
        <v>35.667769</v>
      </c>
      <c r="G376" t="str">
        <f t="shared" si="5"/>
        <v>40,961943 - 35,667769</v>
      </c>
    </row>
    <row r="377" spans="1:7" x14ac:dyDescent="0.25">
      <c r="A377" t="s">
        <v>815</v>
      </c>
      <c r="B377" t="s">
        <v>816</v>
      </c>
      <c r="C377" t="s">
        <v>2012</v>
      </c>
      <c r="D377" t="s">
        <v>1034</v>
      </c>
      <c r="E377">
        <v>40.497675999999998</v>
      </c>
      <c r="F377">
        <v>30.092485</v>
      </c>
      <c r="G377" t="str">
        <f t="shared" si="5"/>
        <v>40,497676 - 30,092485</v>
      </c>
    </row>
    <row r="378" spans="1:7" x14ac:dyDescent="0.25">
      <c r="A378" t="s">
        <v>817</v>
      </c>
      <c r="B378" t="s">
        <v>818</v>
      </c>
      <c r="C378" t="s">
        <v>2054</v>
      </c>
      <c r="D378" t="s">
        <v>1550</v>
      </c>
      <c r="E378">
        <v>37.575768314245657</v>
      </c>
      <c r="F378">
        <v>38.944568130521532</v>
      </c>
      <c r="G378" t="str">
        <f t="shared" si="5"/>
        <v>37,5757683142457 - 38,9445681305215</v>
      </c>
    </row>
    <row r="379" spans="1:7" x14ac:dyDescent="0.25">
      <c r="A379" t="s">
        <v>819</v>
      </c>
      <c r="B379" t="s">
        <v>820</v>
      </c>
      <c r="C379" t="s">
        <v>1268</v>
      </c>
      <c r="D379" t="s">
        <v>1267</v>
      </c>
      <c r="E379">
        <v>38.749828999999998</v>
      </c>
      <c r="F379">
        <v>35.402219000000002</v>
      </c>
      <c r="G379" t="str">
        <f t="shared" si="5"/>
        <v>38,749829 - 35,402219</v>
      </c>
    </row>
    <row r="380" spans="1:7" x14ac:dyDescent="0.25">
      <c r="A380" t="s">
        <v>821</v>
      </c>
      <c r="B380" t="s">
        <v>822</v>
      </c>
      <c r="C380" t="s">
        <v>761</v>
      </c>
      <c r="D380" t="s">
        <v>760</v>
      </c>
      <c r="E380">
        <v>39.254154</v>
      </c>
      <c r="F380">
        <v>29.230157999999999</v>
      </c>
      <c r="G380" t="str">
        <f t="shared" si="5"/>
        <v>39,254154 - 29,230158</v>
      </c>
    </row>
    <row r="381" spans="1:7" x14ac:dyDescent="0.25">
      <c r="A381" t="s">
        <v>823</v>
      </c>
      <c r="B381" t="s">
        <v>824</v>
      </c>
      <c r="C381" t="s">
        <v>1116</v>
      </c>
      <c r="D381" t="s">
        <v>1115</v>
      </c>
      <c r="E381">
        <v>37.784649999999999</v>
      </c>
      <c r="F381">
        <v>29.091100000000001</v>
      </c>
      <c r="G381" t="str">
        <f t="shared" si="5"/>
        <v>37,78465 - 29,0911</v>
      </c>
    </row>
    <row r="382" spans="1:7" x14ac:dyDescent="0.25">
      <c r="A382" t="s">
        <v>825</v>
      </c>
      <c r="B382" t="s">
        <v>826</v>
      </c>
      <c r="C382" t="s">
        <v>1926</v>
      </c>
      <c r="D382" t="s">
        <v>520</v>
      </c>
      <c r="E382">
        <v>41.386955</v>
      </c>
      <c r="F382">
        <v>41.411879999999996</v>
      </c>
      <c r="G382" t="str">
        <f t="shared" si="5"/>
        <v>41,386955 - 41,41188</v>
      </c>
    </row>
    <row r="383" spans="1:7" x14ac:dyDescent="0.25">
      <c r="A383" t="s">
        <v>827</v>
      </c>
      <c r="B383" t="s">
        <v>828</v>
      </c>
      <c r="C383" t="s">
        <v>854</v>
      </c>
      <c r="D383" t="s">
        <v>853</v>
      </c>
      <c r="E383">
        <v>40.039374000000002</v>
      </c>
      <c r="F383">
        <v>42.168807999999999</v>
      </c>
      <c r="G383" t="str">
        <f t="shared" si="5"/>
        <v>40,039374 - 42,168808</v>
      </c>
    </row>
    <row r="384" spans="1:7" x14ac:dyDescent="0.25">
      <c r="A384" t="s">
        <v>829</v>
      </c>
      <c r="B384" t="s">
        <v>830</v>
      </c>
      <c r="C384" t="s">
        <v>856</v>
      </c>
      <c r="D384" t="s">
        <v>855</v>
      </c>
      <c r="E384">
        <v>37.91339</v>
      </c>
      <c r="F384">
        <v>28.592694000000002</v>
      </c>
      <c r="G384" t="str">
        <f t="shared" si="5"/>
        <v>37,91339 - 28,592694</v>
      </c>
    </row>
    <row r="385" spans="1:7" x14ac:dyDescent="0.25">
      <c r="A385" t="s">
        <v>831</v>
      </c>
      <c r="B385" t="s">
        <v>832</v>
      </c>
      <c r="C385" t="s">
        <v>679</v>
      </c>
      <c r="D385" t="s">
        <v>677</v>
      </c>
      <c r="E385">
        <v>40.967171999999998</v>
      </c>
      <c r="F385">
        <v>38.052478000000001</v>
      </c>
      <c r="G385" t="str">
        <f t="shared" ref="G385:G448" si="6">CONCATENATE(E385," - ",F385)</f>
        <v>40,967172 - 38,052478</v>
      </c>
    </row>
    <row r="386" spans="1:7" x14ac:dyDescent="0.25">
      <c r="A386" t="s">
        <v>833</v>
      </c>
      <c r="B386" t="s">
        <v>834</v>
      </c>
      <c r="C386" t="s">
        <v>764</v>
      </c>
      <c r="D386" t="s">
        <v>762</v>
      </c>
      <c r="E386">
        <v>37.956553999999997</v>
      </c>
      <c r="F386">
        <v>31.594325000000001</v>
      </c>
      <c r="G386" t="str">
        <f t="shared" si="6"/>
        <v>37,956554 - 31,594325</v>
      </c>
    </row>
    <row r="387" spans="1:7" x14ac:dyDescent="0.25">
      <c r="A387" t="s">
        <v>835</v>
      </c>
      <c r="B387" t="s">
        <v>836</v>
      </c>
      <c r="C387" t="s">
        <v>858</v>
      </c>
      <c r="D387" t="s">
        <v>857</v>
      </c>
      <c r="E387">
        <v>40.926682</v>
      </c>
      <c r="F387">
        <v>33.648752000000002</v>
      </c>
      <c r="G387" t="str">
        <f t="shared" si="6"/>
        <v>40,926682 - 33,648752</v>
      </c>
    </row>
    <row r="388" spans="1:7" x14ac:dyDescent="0.25">
      <c r="A388" t="s">
        <v>837</v>
      </c>
      <c r="B388" t="s">
        <v>838</v>
      </c>
      <c r="C388" t="s">
        <v>1849</v>
      </c>
      <c r="D388" t="s">
        <v>355</v>
      </c>
      <c r="E388">
        <v>38.288176999999997</v>
      </c>
      <c r="F388">
        <v>31.918683999999999</v>
      </c>
      <c r="G388" t="str">
        <f t="shared" si="6"/>
        <v>38,288177 - 31,918684</v>
      </c>
    </row>
    <row r="389" spans="1:7" x14ac:dyDescent="0.25">
      <c r="A389" t="s">
        <v>839</v>
      </c>
      <c r="B389" t="s">
        <v>840</v>
      </c>
      <c r="C389" t="s">
        <v>629</v>
      </c>
      <c r="D389" t="s">
        <v>627</v>
      </c>
      <c r="E389">
        <v>40.521269480000001</v>
      </c>
      <c r="F389">
        <v>30.276213009999999</v>
      </c>
      <c r="G389" t="str">
        <f t="shared" si="6"/>
        <v>40,52126948 - 30,27621301</v>
      </c>
    </row>
    <row r="390" spans="1:7" x14ac:dyDescent="0.25">
      <c r="A390" t="s">
        <v>841</v>
      </c>
      <c r="B390" t="s">
        <v>842</v>
      </c>
      <c r="C390" t="s">
        <v>1372</v>
      </c>
      <c r="D390" t="s">
        <v>1371</v>
      </c>
      <c r="E390">
        <v>36.778928999999998</v>
      </c>
      <c r="F390">
        <v>31.426172000000001</v>
      </c>
      <c r="G390" t="str">
        <f t="shared" si="6"/>
        <v>36,778929 - 31,426172</v>
      </c>
    </row>
    <row r="391" spans="1:7" x14ac:dyDescent="0.25">
      <c r="A391" t="s">
        <v>843</v>
      </c>
      <c r="B391" t="s">
        <v>844</v>
      </c>
      <c r="C391" t="s">
        <v>2039</v>
      </c>
      <c r="D391" t="s">
        <v>1449</v>
      </c>
      <c r="E391">
        <v>41.453181000000001</v>
      </c>
      <c r="F391">
        <v>31.776978</v>
      </c>
      <c r="G391" t="str">
        <f t="shared" si="6"/>
        <v>41,453181 - 31,776978</v>
      </c>
    </row>
    <row r="392" spans="1:7" x14ac:dyDescent="0.25">
      <c r="A392" t="s">
        <v>845</v>
      </c>
      <c r="B392" t="s">
        <v>846</v>
      </c>
      <c r="C392" t="s">
        <v>1729</v>
      </c>
      <c r="D392" t="s">
        <v>67</v>
      </c>
      <c r="E392">
        <v>40.086796999999997</v>
      </c>
      <c r="F392">
        <v>29.509326000000001</v>
      </c>
      <c r="G392" t="str">
        <f t="shared" si="6"/>
        <v>40,086797 - 29,509326</v>
      </c>
    </row>
    <row r="393" spans="1:7" x14ac:dyDescent="0.25">
      <c r="A393" t="s">
        <v>847</v>
      </c>
      <c r="B393" t="s">
        <v>848</v>
      </c>
      <c r="C393" t="s">
        <v>1220</v>
      </c>
      <c r="D393" t="s">
        <v>1219</v>
      </c>
      <c r="E393">
        <v>36.623781999999999</v>
      </c>
      <c r="F393">
        <v>29.13129</v>
      </c>
      <c r="G393" t="str">
        <f t="shared" si="6"/>
        <v>36,623782 - 29,13129</v>
      </c>
    </row>
    <row r="394" spans="1:7" x14ac:dyDescent="0.25">
      <c r="A394" t="s">
        <v>849</v>
      </c>
      <c r="B394" t="s">
        <v>850</v>
      </c>
      <c r="C394" t="s">
        <v>1156</v>
      </c>
      <c r="D394" t="s">
        <v>1155</v>
      </c>
      <c r="E394">
        <v>40.399422000000001</v>
      </c>
      <c r="F394">
        <v>27.794895</v>
      </c>
      <c r="G394" t="str">
        <f t="shared" si="6"/>
        <v>40,399422 - 27,794895</v>
      </c>
    </row>
    <row r="395" spans="1:7" x14ac:dyDescent="0.25">
      <c r="A395" t="s">
        <v>851</v>
      </c>
      <c r="B395" t="s">
        <v>852</v>
      </c>
      <c r="C395" t="s">
        <v>632</v>
      </c>
      <c r="D395" t="s">
        <v>630</v>
      </c>
      <c r="E395">
        <v>41.095807000000001</v>
      </c>
      <c r="F395">
        <v>34.418396000000001</v>
      </c>
      <c r="G395" t="str">
        <f t="shared" si="6"/>
        <v>41,095807 - 34,418396</v>
      </c>
    </row>
    <row r="396" spans="1:7" x14ac:dyDescent="0.25">
      <c r="A396" t="s">
        <v>853</v>
      </c>
      <c r="B396" t="s">
        <v>854</v>
      </c>
      <c r="C396" t="s">
        <v>1741</v>
      </c>
      <c r="D396" t="s">
        <v>110</v>
      </c>
      <c r="E396">
        <v>36.582104999999999</v>
      </c>
      <c r="F396">
        <v>36.179867000000002</v>
      </c>
      <c r="G396" t="str">
        <f t="shared" si="6"/>
        <v>36,582105 - 36,179867</v>
      </c>
    </row>
    <row r="397" spans="1:7" x14ac:dyDescent="0.25">
      <c r="A397" t="s">
        <v>855</v>
      </c>
      <c r="B397" t="s">
        <v>856</v>
      </c>
      <c r="C397" t="s">
        <v>1725</v>
      </c>
      <c r="D397" t="s">
        <v>57</v>
      </c>
      <c r="E397">
        <v>37.780878000000001</v>
      </c>
      <c r="F397">
        <v>30.545135999999999</v>
      </c>
      <c r="G397" t="str">
        <f t="shared" si="6"/>
        <v>37,780878 - 30,545136</v>
      </c>
    </row>
    <row r="398" spans="1:7" x14ac:dyDescent="0.25">
      <c r="A398" t="s">
        <v>857</v>
      </c>
      <c r="B398" t="s">
        <v>858</v>
      </c>
      <c r="C398" t="s">
        <v>107</v>
      </c>
      <c r="D398" t="s">
        <v>106</v>
      </c>
      <c r="E398">
        <v>41.012855999999999</v>
      </c>
      <c r="F398">
        <v>28.946553999999999</v>
      </c>
      <c r="G398" t="str">
        <f t="shared" si="6"/>
        <v>41,012856 - 28,946554</v>
      </c>
    </row>
    <row r="399" spans="1:7" x14ac:dyDescent="0.25">
      <c r="A399" t="s">
        <v>859</v>
      </c>
      <c r="B399" t="s">
        <v>860</v>
      </c>
      <c r="C399" t="s">
        <v>770</v>
      </c>
      <c r="D399" t="s">
        <v>769</v>
      </c>
      <c r="E399">
        <v>41.013649999999998</v>
      </c>
      <c r="F399">
        <v>28.645227999999999</v>
      </c>
      <c r="G399" t="str">
        <f t="shared" si="6"/>
        <v>41,01365 - 28,645228</v>
      </c>
    </row>
    <row r="400" spans="1:7" x14ac:dyDescent="0.25">
      <c r="A400" t="s">
        <v>861</v>
      </c>
      <c r="B400" t="s">
        <v>862</v>
      </c>
      <c r="C400" t="s">
        <v>297</v>
      </c>
      <c r="D400" t="s">
        <v>296</v>
      </c>
      <c r="E400">
        <v>41.022300000000001</v>
      </c>
      <c r="F400">
        <v>28.584499999999998</v>
      </c>
      <c r="G400" t="str">
        <f t="shared" si="6"/>
        <v>41,0223 - 28,5845</v>
      </c>
    </row>
    <row r="401" spans="1:7" x14ac:dyDescent="0.25">
      <c r="A401" t="s">
        <v>863</v>
      </c>
      <c r="B401" t="s">
        <v>864</v>
      </c>
      <c r="C401" t="s">
        <v>2025</v>
      </c>
      <c r="D401" t="s">
        <v>1089</v>
      </c>
      <c r="E401">
        <v>39.918173000000003</v>
      </c>
      <c r="F401">
        <v>32.812539000000001</v>
      </c>
      <c r="G401" t="str">
        <f t="shared" si="6"/>
        <v>39,918173 - 32,812539</v>
      </c>
    </row>
    <row r="402" spans="1:7" x14ac:dyDescent="0.25">
      <c r="A402" t="s">
        <v>865</v>
      </c>
      <c r="B402" t="s">
        <v>866</v>
      </c>
      <c r="C402" t="s">
        <v>1709</v>
      </c>
      <c r="D402" t="s">
        <v>28</v>
      </c>
      <c r="E402">
        <v>38.430750000000003</v>
      </c>
      <c r="F402">
        <v>27.213881000000001</v>
      </c>
      <c r="G402" t="str">
        <f t="shared" si="6"/>
        <v>38,43075 - 27,213881</v>
      </c>
    </row>
    <row r="403" spans="1:7" x14ac:dyDescent="0.25">
      <c r="A403" t="s">
        <v>867</v>
      </c>
      <c r="B403" t="s">
        <v>868</v>
      </c>
      <c r="C403" t="s">
        <v>2086</v>
      </c>
      <c r="D403" t="s">
        <v>950</v>
      </c>
      <c r="E403">
        <v>38.430750000000003</v>
      </c>
      <c r="F403">
        <v>27.213881000000001</v>
      </c>
      <c r="G403" t="str">
        <f t="shared" si="6"/>
        <v>38,43075 - 27,213881</v>
      </c>
    </row>
    <row r="404" spans="1:7" x14ac:dyDescent="0.25">
      <c r="A404" t="s">
        <v>869</v>
      </c>
      <c r="B404" t="s">
        <v>870</v>
      </c>
      <c r="C404" t="s">
        <v>739</v>
      </c>
      <c r="D404" t="s">
        <v>738</v>
      </c>
      <c r="E404">
        <v>41.224505999999998</v>
      </c>
      <c r="F404">
        <v>33.150246000000003</v>
      </c>
      <c r="G404" t="str">
        <f t="shared" si="6"/>
        <v>41,224506 - 33,150246</v>
      </c>
    </row>
    <row r="405" spans="1:7" x14ac:dyDescent="0.25">
      <c r="A405" t="s">
        <v>871</v>
      </c>
      <c r="B405" t="s">
        <v>872</v>
      </c>
      <c r="C405" t="s">
        <v>1927</v>
      </c>
      <c r="D405" t="s">
        <v>522</v>
      </c>
      <c r="E405">
        <v>37.262197999999998</v>
      </c>
      <c r="F405">
        <v>35.667757999999999</v>
      </c>
      <c r="G405" t="str">
        <f t="shared" si="6"/>
        <v>37,262198 - 35,667758</v>
      </c>
    </row>
    <row r="406" spans="1:7" x14ac:dyDescent="0.25">
      <c r="A406" t="s">
        <v>873</v>
      </c>
      <c r="B406" t="s">
        <v>874</v>
      </c>
      <c r="C406" t="s">
        <v>1928</v>
      </c>
      <c r="D406" t="s">
        <v>524</v>
      </c>
      <c r="E406">
        <v>39.872309999999999</v>
      </c>
      <c r="F406">
        <v>38.109318999999999</v>
      </c>
      <c r="G406" t="str">
        <f t="shared" si="6"/>
        <v>39,87231 - 38,109319</v>
      </c>
    </row>
    <row r="407" spans="1:7" x14ac:dyDescent="0.25">
      <c r="A407" t="s">
        <v>876</v>
      </c>
      <c r="B407" t="s">
        <v>877</v>
      </c>
      <c r="C407" t="s">
        <v>786</v>
      </c>
      <c r="D407" t="s">
        <v>785</v>
      </c>
      <c r="E407">
        <v>37.894710000000003</v>
      </c>
      <c r="F407">
        <v>28.267289999999999</v>
      </c>
      <c r="G407" t="str">
        <f t="shared" si="6"/>
        <v>37,89471 - 28,26729</v>
      </c>
    </row>
    <row r="408" spans="1:7" x14ac:dyDescent="0.25">
      <c r="A408" t="s">
        <v>878</v>
      </c>
      <c r="B408" t="s">
        <v>879</v>
      </c>
      <c r="C408" t="s">
        <v>1929</v>
      </c>
      <c r="D408" t="s">
        <v>526</v>
      </c>
      <c r="E408">
        <v>40.4827766911</v>
      </c>
      <c r="F408">
        <v>41.000652234</v>
      </c>
      <c r="G408" t="str">
        <f t="shared" si="6"/>
        <v>40,4827766911 - 41,000652234</v>
      </c>
    </row>
    <row r="409" spans="1:7" x14ac:dyDescent="0.25">
      <c r="A409" t="s">
        <v>880</v>
      </c>
      <c r="B409" t="s">
        <v>881</v>
      </c>
      <c r="C409" t="s">
        <v>1707</v>
      </c>
      <c r="D409" t="s">
        <v>15</v>
      </c>
      <c r="E409">
        <v>41.088332000000001</v>
      </c>
      <c r="F409">
        <v>28.945146999999999</v>
      </c>
      <c r="G409" t="str">
        <f t="shared" si="6"/>
        <v>41,088332 - 28,945147</v>
      </c>
    </row>
    <row r="410" spans="1:7" x14ac:dyDescent="0.25">
      <c r="A410" t="s">
        <v>882</v>
      </c>
      <c r="B410" t="s">
        <v>883</v>
      </c>
      <c r="C410" t="s">
        <v>289</v>
      </c>
      <c r="D410" t="s">
        <v>288</v>
      </c>
      <c r="E410">
        <v>40.982999999999997</v>
      </c>
      <c r="F410">
        <v>28.721900000000002</v>
      </c>
      <c r="G410" t="str">
        <f t="shared" si="6"/>
        <v>40,983 - 28,7219</v>
      </c>
    </row>
    <row r="411" spans="1:7" x14ac:dyDescent="0.25">
      <c r="A411" t="s">
        <v>884</v>
      </c>
      <c r="B411" t="s">
        <v>885</v>
      </c>
      <c r="C411" t="s">
        <v>123</v>
      </c>
      <c r="D411" t="s">
        <v>122</v>
      </c>
      <c r="E411">
        <v>40.980063999999999</v>
      </c>
      <c r="F411">
        <v>28.870705999999998</v>
      </c>
      <c r="G411" t="str">
        <f t="shared" si="6"/>
        <v>40,980064 - 28,870706</v>
      </c>
    </row>
    <row r="412" spans="1:7" x14ac:dyDescent="0.25">
      <c r="A412" t="s">
        <v>886</v>
      </c>
      <c r="B412" t="s">
        <v>887</v>
      </c>
      <c r="C412" t="s">
        <v>1708</v>
      </c>
      <c r="D412" t="s">
        <v>14</v>
      </c>
      <c r="E412">
        <v>40.996571000000003</v>
      </c>
      <c r="F412">
        <v>29.1402</v>
      </c>
      <c r="G412" t="str">
        <f t="shared" si="6"/>
        <v>40,996571 - 29,1402</v>
      </c>
    </row>
    <row r="413" spans="1:7" x14ac:dyDescent="0.25">
      <c r="A413" t="s">
        <v>888</v>
      </c>
      <c r="B413" t="s">
        <v>889</v>
      </c>
      <c r="C413" t="s">
        <v>1706</v>
      </c>
      <c r="D413" t="s">
        <v>16</v>
      </c>
      <c r="E413">
        <v>41.040042999999997</v>
      </c>
      <c r="F413">
        <v>28.894496</v>
      </c>
      <c r="G413" t="str">
        <f t="shared" si="6"/>
        <v>41,040043 - 28,894496</v>
      </c>
    </row>
    <row r="414" spans="1:7" x14ac:dyDescent="0.25">
      <c r="A414" t="s">
        <v>890</v>
      </c>
      <c r="B414" t="s">
        <v>891</v>
      </c>
      <c r="C414" t="s">
        <v>2019</v>
      </c>
      <c r="D414" t="s">
        <v>1048</v>
      </c>
      <c r="E414">
        <v>41.011159999999997</v>
      </c>
      <c r="F414">
        <v>29.01182</v>
      </c>
      <c r="G414" t="str">
        <f t="shared" si="6"/>
        <v>41,01116 - 29,01182</v>
      </c>
    </row>
    <row r="415" spans="1:7" x14ac:dyDescent="0.25">
      <c r="A415" t="s">
        <v>892</v>
      </c>
      <c r="B415" t="s">
        <v>893</v>
      </c>
      <c r="C415" t="s">
        <v>529</v>
      </c>
      <c r="D415" t="s">
        <v>528</v>
      </c>
      <c r="E415">
        <v>40.989573999999998</v>
      </c>
      <c r="F415">
        <v>40.330907000000003</v>
      </c>
      <c r="G415" t="str">
        <f t="shared" si="6"/>
        <v>40,989574 - 40,330907</v>
      </c>
    </row>
    <row r="416" spans="1:7" x14ac:dyDescent="0.25">
      <c r="A416" t="s">
        <v>894</v>
      </c>
      <c r="B416" t="s">
        <v>895</v>
      </c>
      <c r="C416" t="s">
        <v>937</v>
      </c>
      <c r="D416" t="s">
        <v>936</v>
      </c>
      <c r="E416">
        <v>41.011403999999999</v>
      </c>
      <c r="F416">
        <v>40.359237</v>
      </c>
      <c r="G416" t="str">
        <f t="shared" si="6"/>
        <v>41,011404 - 40,359237</v>
      </c>
    </row>
    <row r="417" spans="1:7" x14ac:dyDescent="0.25">
      <c r="A417" t="s">
        <v>897</v>
      </c>
      <c r="B417" t="s">
        <v>898</v>
      </c>
      <c r="C417" t="s">
        <v>1930</v>
      </c>
      <c r="D417" t="s">
        <v>530</v>
      </c>
      <c r="E417">
        <v>40.426360000000003</v>
      </c>
      <c r="F417">
        <v>29.722044</v>
      </c>
      <c r="G417" t="str">
        <f t="shared" si="6"/>
        <v>40,42636 - 29,722044</v>
      </c>
    </row>
    <row r="418" spans="1:7" x14ac:dyDescent="0.25">
      <c r="A418" t="s">
        <v>899</v>
      </c>
      <c r="B418" t="s">
        <v>900</v>
      </c>
      <c r="C418" t="s">
        <v>1062</v>
      </c>
      <c r="D418" t="s">
        <v>1061</v>
      </c>
      <c r="E418">
        <v>40.426499999999997</v>
      </c>
      <c r="F418">
        <v>29.72213</v>
      </c>
      <c r="G418" t="str">
        <f t="shared" si="6"/>
        <v>40,4265 - 29,72213</v>
      </c>
    </row>
    <row r="419" spans="1:7" x14ac:dyDescent="0.25">
      <c r="A419" t="s">
        <v>901</v>
      </c>
      <c r="B419" t="s">
        <v>902</v>
      </c>
      <c r="C419" t="s">
        <v>72</v>
      </c>
      <c r="D419" t="s">
        <v>71</v>
      </c>
      <c r="E419">
        <v>40.827259808652002</v>
      </c>
      <c r="F419">
        <v>31.168522794468601</v>
      </c>
      <c r="G419" t="str">
        <f t="shared" si="6"/>
        <v>40,827259808652 - 31,1685227944686</v>
      </c>
    </row>
    <row r="420" spans="1:7" x14ac:dyDescent="0.25">
      <c r="A420" t="s">
        <v>903</v>
      </c>
      <c r="B420" t="s">
        <v>904</v>
      </c>
      <c r="C420" t="s">
        <v>1982</v>
      </c>
      <c r="D420" t="s">
        <v>861</v>
      </c>
      <c r="E420">
        <v>38.241230999999999</v>
      </c>
      <c r="F420">
        <v>32.189255000000003</v>
      </c>
      <c r="G420" t="str">
        <f t="shared" si="6"/>
        <v>38,241231 - 32,189255</v>
      </c>
    </row>
    <row r="421" spans="1:7" x14ac:dyDescent="0.25">
      <c r="A421" t="s">
        <v>905</v>
      </c>
      <c r="B421" t="s">
        <v>906</v>
      </c>
      <c r="C421" t="s">
        <v>1332</v>
      </c>
      <c r="D421" t="s">
        <v>1331</v>
      </c>
      <c r="E421">
        <v>37.950322999999997</v>
      </c>
      <c r="F421">
        <v>32.509435000000003</v>
      </c>
      <c r="G421" t="str">
        <f t="shared" si="6"/>
        <v>37,950323 - 32,509435</v>
      </c>
    </row>
    <row r="422" spans="1:7" x14ac:dyDescent="0.25">
      <c r="A422" t="s">
        <v>907</v>
      </c>
      <c r="B422" t="s">
        <v>908</v>
      </c>
      <c r="C422" t="s">
        <v>1848</v>
      </c>
      <c r="D422" t="s">
        <v>353</v>
      </c>
      <c r="E422">
        <v>37.368175000000001</v>
      </c>
      <c r="F422">
        <v>36.097630000000002</v>
      </c>
      <c r="G422" t="str">
        <f t="shared" si="6"/>
        <v>37,368175 - 36,09763</v>
      </c>
    </row>
    <row r="423" spans="1:7" x14ac:dyDescent="0.25">
      <c r="A423" t="s">
        <v>909</v>
      </c>
      <c r="B423" t="s">
        <v>910</v>
      </c>
      <c r="C423" t="s">
        <v>1831</v>
      </c>
      <c r="D423" t="s">
        <v>314</v>
      </c>
      <c r="E423">
        <v>37.552743</v>
      </c>
      <c r="F423">
        <v>36.920237</v>
      </c>
      <c r="G423" t="str">
        <f t="shared" si="6"/>
        <v>37,552743 - 36,920237</v>
      </c>
    </row>
    <row r="424" spans="1:7" x14ac:dyDescent="0.25">
      <c r="A424" t="s">
        <v>911</v>
      </c>
      <c r="B424" t="s">
        <v>912</v>
      </c>
      <c r="C424" t="s">
        <v>1190</v>
      </c>
      <c r="D424" t="s">
        <v>1189</v>
      </c>
      <c r="E424">
        <v>39.775838</v>
      </c>
      <c r="F424">
        <v>30.553260000000002</v>
      </c>
      <c r="G424" t="str">
        <f t="shared" si="6"/>
        <v>39,775838 - 30,55326</v>
      </c>
    </row>
    <row r="425" spans="1:7" x14ac:dyDescent="0.25">
      <c r="A425" t="s">
        <v>913</v>
      </c>
      <c r="B425" t="s">
        <v>914</v>
      </c>
      <c r="C425" t="s">
        <v>1312</v>
      </c>
      <c r="D425" t="s">
        <v>1311</v>
      </c>
      <c r="E425">
        <v>38.749828999999998</v>
      </c>
      <c r="F425">
        <v>35.402219000000002</v>
      </c>
      <c r="G425" t="str">
        <f t="shared" si="6"/>
        <v>38,749829 - 35,402219</v>
      </c>
    </row>
    <row r="426" spans="1:7" x14ac:dyDescent="0.25">
      <c r="A426" t="s">
        <v>915</v>
      </c>
      <c r="B426" t="s">
        <v>916</v>
      </c>
      <c r="C426" t="s">
        <v>927</v>
      </c>
      <c r="D426" t="s">
        <v>926</v>
      </c>
      <c r="E426">
        <v>37.442867999999997</v>
      </c>
      <c r="F426">
        <v>28.851186999999999</v>
      </c>
      <c r="G426" t="str">
        <f t="shared" si="6"/>
        <v>37,442868 - 28,851187</v>
      </c>
    </row>
    <row r="427" spans="1:7" x14ac:dyDescent="0.25">
      <c r="A427" t="s">
        <v>917</v>
      </c>
      <c r="B427" t="s">
        <v>918</v>
      </c>
      <c r="C427" t="s">
        <v>1138</v>
      </c>
      <c r="D427" t="s">
        <v>1137</v>
      </c>
      <c r="E427">
        <v>40.316999000000003</v>
      </c>
      <c r="F427">
        <v>28.009252</v>
      </c>
      <c r="G427" t="str">
        <f t="shared" si="6"/>
        <v>40,316999 - 28,009252</v>
      </c>
    </row>
    <row r="428" spans="1:7" x14ac:dyDescent="0.25">
      <c r="A428" t="s">
        <v>920</v>
      </c>
      <c r="B428" t="s">
        <v>921</v>
      </c>
      <c r="C428" t="s">
        <v>1933</v>
      </c>
      <c r="D428" t="s">
        <v>536</v>
      </c>
      <c r="E428">
        <v>36.270851999999998</v>
      </c>
      <c r="F428">
        <v>29.413152</v>
      </c>
      <c r="G428" t="str">
        <f t="shared" si="6"/>
        <v>36,270852 - 29,413152</v>
      </c>
    </row>
    <row r="429" spans="1:7" x14ac:dyDescent="0.25">
      <c r="A429" t="s">
        <v>922</v>
      </c>
      <c r="B429" t="s">
        <v>923</v>
      </c>
      <c r="C429" t="s">
        <v>1176</v>
      </c>
      <c r="D429" t="s">
        <v>1175</v>
      </c>
      <c r="E429">
        <v>37.784649999999999</v>
      </c>
      <c r="F429">
        <v>29.091100000000001</v>
      </c>
      <c r="G429" t="str">
        <f t="shared" si="6"/>
        <v>37,78465 - 29,0911</v>
      </c>
    </row>
    <row r="430" spans="1:7" x14ac:dyDescent="0.25">
      <c r="A430" t="s">
        <v>924</v>
      </c>
      <c r="B430" t="s">
        <v>925</v>
      </c>
      <c r="C430" t="s">
        <v>1128</v>
      </c>
      <c r="D430" t="s">
        <v>1127</v>
      </c>
      <c r="E430">
        <v>38.729790000000001</v>
      </c>
      <c r="F430">
        <v>31.044477000000001</v>
      </c>
      <c r="G430" t="str">
        <f t="shared" si="6"/>
        <v>38,72979 - 31,044477</v>
      </c>
    </row>
    <row r="431" spans="1:7" x14ac:dyDescent="0.25">
      <c r="A431" t="s">
        <v>926</v>
      </c>
      <c r="B431" t="s">
        <v>927</v>
      </c>
      <c r="C431" t="s">
        <v>1240</v>
      </c>
      <c r="D431" t="s">
        <v>1239</v>
      </c>
      <c r="E431">
        <v>37.780878000000001</v>
      </c>
      <c r="F431">
        <v>30.545135999999999</v>
      </c>
      <c r="G431" t="str">
        <f t="shared" si="6"/>
        <v>37,780878 - 30,545136</v>
      </c>
    </row>
    <row r="432" spans="1:7" x14ac:dyDescent="0.25">
      <c r="A432" t="s">
        <v>928</v>
      </c>
      <c r="B432" t="s">
        <v>929</v>
      </c>
      <c r="C432" t="s">
        <v>1396</v>
      </c>
      <c r="D432" t="s">
        <v>1395</v>
      </c>
      <c r="E432">
        <v>38.513674999999999</v>
      </c>
      <c r="F432">
        <v>43.377628000000001</v>
      </c>
      <c r="G432" t="str">
        <f t="shared" si="6"/>
        <v>38,513675 - 43,377628</v>
      </c>
    </row>
    <row r="433" spans="1:7" x14ac:dyDescent="0.25">
      <c r="A433" t="s">
        <v>930</v>
      </c>
      <c r="B433" t="s">
        <v>931</v>
      </c>
      <c r="C433" t="s">
        <v>1336</v>
      </c>
      <c r="D433" t="s">
        <v>1335</v>
      </c>
      <c r="E433">
        <v>37.950322999999997</v>
      </c>
      <c r="F433">
        <v>32.509435000000003</v>
      </c>
      <c r="G433" t="str">
        <f t="shared" si="6"/>
        <v>37,950323 - 32,509435</v>
      </c>
    </row>
    <row r="434" spans="1:7" x14ac:dyDescent="0.25">
      <c r="A434" t="s">
        <v>932</v>
      </c>
      <c r="B434" t="s">
        <v>933</v>
      </c>
      <c r="C434" t="s">
        <v>1218</v>
      </c>
      <c r="D434" t="s">
        <v>980</v>
      </c>
      <c r="E434">
        <v>41.332000000000001</v>
      </c>
      <c r="F434">
        <v>27.967870000000001</v>
      </c>
      <c r="G434" t="str">
        <f t="shared" si="6"/>
        <v>41,332 - 27,96787</v>
      </c>
    </row>
    <row r="435" spans="1:7" x14ac:dyDescent="0.25">
      <c r="A435" t="s">
        <v>934</v>
      </c>
      <c r="B435" t="s">
        <v>935</v>
      </c>
      <c r="C435" t="s">
        <v>1218</v>
      </c>
      <c r="D435" t="s">
        <v>1217</v>
      </c>
      <c r="E435">
        <v>38.288176999999997</v>
      </c>
      <c r="F435">
        <v>31.918683999999999</v>
      </c>
      <c r="G435" t="str">
        <f t="shared" si="6"/>
        <v>38,288177 - 31,918684</v>
      </c>
    </row>
    <row r="436" spans="1:7" x14ac:dyDescent="0.25">
      <c r="A436" t="s">
        <v>936</v>
      </c>
      <c r="B436" t="s">
        <v>937</v>
      </c>
      <c r="C436" t="s">
        <v>1158</v>
      </c>
      <c r="D436" t="s">
        <v>1157</v>
      </c>
      <c r="E436">
        <v>40.399422000000001</v>
      </c>
      <c r="F436">
        <v>27.794895</v>
      </c>
      <c r="G436" t="str">
        <f t="shared" si="6"/>
        <v>40,399422 - 27,794895</v>
      </c>
    </row>
    <row r="437" spans="1:7" x14ac:dyDescent="0.25">
      <c r="A437" t="s">
        <v>938</v>
      </c>
      <c r="B437" t="s">
        <v>939</v>
      </c>
      <c r="C437" t="s">
        <v>1122</v>
      </c>
      <c r="D437" t="s">
        <v>1121</v>
      </c>
      <c r="E437">
        <v>39.317790000000002</v>
      </c>
      <c r="F437">
        <v>26.721008000000001</v>
      </c>
      <c r="G437" t="str">
        <f t="shared" si="6"/>
        <v>39,31779 - 26,721008</v>
      </c>
    </row>
    <row r="438" spans="1:7" x14ac:dyDescent="0.25">
      <c r="A438" t="s">
        <v>940</v>
      </c>
      <c r="B438" t="s">
        <v>941</v>
      </c>
      <c r="C438" t="s">
        <v>1748</v>
      </c>
      <c r="D438" t="s">
        <v>137</v>
      </c>
      <c r="E438">
        <v>41.196451000000003</v>
      </c>
      <c r="F438">
        <v>32.625377</v>
      </c>
      <c r="G438" t="str">
        <f t="shared" si="6"/>
        <v>41,196451 - 32,625377</v>
      </c>
    </row>
    <row r="439" spans="1:7" x14ac:dyDescent="0.25">
      <c r="A439" t="s">
        <v>942</v>
      </c>
      <c r="B439" t="s">
        <v>943</v>
      </c>
      <c r="C439" t="s">
        <v>1846</v>
      </c>
      <c r="D439" t="s">
        <v>347</v>
      </c>
      <c r="E439">
        <v>40.215994000000002</v>
      </c>
      <c r="F439">
        <v>28.355080000000001</v>
      </c>
      <c r="G439" t="str">
        <f t="shared" si="6"/>
        <v>40,215994 - 28,35508</v>
      </c>
    </row>
    <row r="440" spans="1:7" x14ac:dyDescent="0.25">
      <c r="A440" t="s">
        <v>945</v>
      </c>
      <c r="B440" t="s">
        <v>946</v>
      </c>
      <c r="C440" t="s">
        <v>350</v>
      </c>
      <c r="D440" t="s">
        <v>349</v>
      </c>
      <c r="E440">
        <v>40.182299999999998</v>
      </c>
      <c r="F440">
        <v>28.362883</v>
      </c>
      <c r="G440" t="str">
        <f t="shared" si="6"/>
        <v>40,1823 - 28,362883</v>
      </c>
    </row>
    <row r="441" spans="1:7" x14ac:dyDescent="0.25">
      <c r="A441" t="s">
        <v>947</v>
      </c>
      <c r="B441" t="s">
        <v>948</v>
      </c>
      <c r="C441" t="s">
        <v>1364</v>
      </c>
      <c r="D441" t="s">
        <v>1363</v>
      </c>
      <c r="E441">
        <v>38.589663000000002</v>
      </c>
      <c r="F441">
        <v>34.678972000000002</v>
      </c>
      <c r="G441" t="str">
        <f t="shared" si="6"/>
        <v>38,589663 - 34,678972</v>
      </c>
    </row>
    <row r="442" spans="1:7" x14ac:dyDescent="0.25">
      <c r="A442" t="s">
        <v>950</v>
      </c>
      <c r="B442" t="s">
        <v>1704</v>
      </c>
      <c r="C442" t="s">
        <v>790</v>
      </c>
      <c r="D442" t="s">
        <v>789</v>
      </c>
      <c r="E442">
        <v>37.729990000000001</v>
      </c>
      <c r="F442">
        <v>28.608409999999999</v>
      </c>
      <c r="G442" t="str">
        <f t="shared" si="6"/>
        <v>37,72999 - 28,60841</v>
      </c>
    </row>
    <row r="443" spans="1:7" x14ac:dyDescent="0.25">
      <c r="A443" t="s">
        <v>951</v>
      </c>
      <c r="B443" t="s">
        <v>952</v>
      </c>
      <c r="C443" t="s">
        <v>1214</v>
      </c>
      <c r="D443" t="s">
        <v>1213</v>
      </c>
      <c r="E443">
        <v>36.623781999999999</v>
      </c>
      <c r="F443">
        <v>29.13129</v>
      </c>
      <c r="G443" t="str">
        <f t="shared" si="6"/>
        <v>36,623782 - 29,13129</v>
      </c>
    </row>
    <row r="444" spans="1:7" x14ac:dyDescent="0.25">
      <c r="A444" t="s">
        <v>953</v>
      </c>
      <c r="B444" t="s">
        <v>954</v>
      </c>
      <c r="C444" t="s">
        <v>794</v>
      </c>
      <c r="D444" t="s">
        <v>793</v>
      </c>
      <c r="E444">
        <v>37.611170000000001</v>
      </c>
      <c r="F444">
        <v>28.957170000000001</v>
      </c>
      <c r="G444" t="str">
        <f t="shared" si="6"/>
        <v>37,61117 - 28,95717</v>
      </c>
    </row>
    <row r="445" spans="1:7" x14ac:dyDescent="0.25">
      <c r="A445" t="s">
        <v>956</v>
      </c>
      <c r="B445" t="s">
        <v>957</v>
      </c>
      <c r="C445" t="s">
        <v>864</v>
      </c>
      <c r="D445" t="s">
        <v>863</v>
      </c>
      <c r="E445">
        <v>38.925224999999998</v>
      </c>
      <c r="F445">
        <v>40.067642999999997</v>
      </c>
      <c r="G445" t="str">
        <f t="shared" si="6"/>
        <v>38,925225 - 40,067643</v>
      </c>
    </row>
    <row r="446" spans="1:7" x14ac:dyDescent="0.25">
      <c r="A446" t="s">
        <v>959</v>
      </c>
      <c r="B446" t="s">
        <v>960</v>
      </c>
      <c r="C446" t="s">
        <v>1835</v>
      </c>
      <c r="D446" t="s">
        <v>325</v>
      </c>
      <c r="E446">
        <v>37.183650999999998</v>
      </c>
      <c r="F446">
        <v>33.193592000000002</v>
      </c>
      <c r="G446" t="str">
        <f t="shared" si="6"/>
        <v>37,183651 - 33,193592</v>
      </c>
    </row>
    <row r="447" spans="1:7" x14ac:dyDescent="0.25">
      <c r="A447" t="s">
        <v>962</v>
      </c>
      <c r="B447" t="s">
        <v>963</v>
      </c>
      <c r="C447" t="s">
        <v>1334</v>
      </c>
      <c r="D447" t="s">
        <v>1333</v>
      </c>
      <c r="E447">
        <v>37.950322999999997</v>
      </c>
      <c r="F447">
        <v>32.509435000000003</v>
      </c>
      <c r="G447" t="str">
        <f t="shared" si="6"/>
        <v>37,950323 - 32,509435</v>
      </c>
    </row>
    <row r="448" spans="1:7" x14ac:dyDescent="0.25">
      <c r="A448" t="s">
        <v>964</v>
      </c>
      <c r="B448" t="s">
        <v>965</v>
      </c>
      <c r="C448" t="s">
        <v>2037</v>
      </c>
      <c r="D448" t="s">
        <v>1445</v>
      </c>
      <c r="E448">
        <v>41.453181000000001</v>
      </c>
      <c r="F448">
        <v>31.776978</v>
      </c>
      <c r="G448" t="str">
        <f t="shared" si="6"/>
        <v>41,453181 - 31,776978</v>
      </c>
    </row>
    <row r="449" spans="1:7" x14ac:dyDescent="0.25">
      <c r="A449" t="s">
        <v>966</v>
      </c>
      <c r="B449" t="s">
        <v>967</v>
      </c>
      <c r="C449" t="s">
        <v>866</v>
      </c>
      <c r="D449" t="s">
        <v>865</v>
      </c>
      <c r="E449">
        <v>37.374839999999999</v>
      </c>
      <c r="F449">
        <v>29.832795000000001</v>
      </c>
      <c r="G449" t="str">
        <f t="shared" ref="G449:G512" si="7">CONCATENATE(E449," - ",F449)</f>
        <v>37,37484 - 29,832795</v>
      </c>
    </row>
    <row r="450" spans="1:7" x14ac:dyDescent="0.25">
      <c r="A450" t="s">
        <v>968</v>
      </c>
      <c r="B450" t="s">
        <v>969</v>
      </c>
      <c r="C450" t="s">
        <v>1965</v>
      </c>
      <c r="D450" t="s">
        <v>733</v>
      </c>
      <c r="E450">
        <v>40.691614000000001</v>
      </c>
      <c r="F450">
        <v>29.617834999999999</v>
      </c>
      <c r="G450" t="str">
        <f t="shared" si="7"/>
        <v>40,691614 - 29,617835</v>
      </c>
    </row>
    <row r="451" spans="1:7" x14ac:dyDescent="0.25">
      <c r="A451" t="s">
        <v>970</v>
      </c>
      <c r="B451" t="s">
        <v>971</v>
      </c>
      <c r="C451" t="s">
        <v>747</v>
      </c>
      <c r="D451" t="s">
        <v>745</v>
      </c>
      <c r="E451">
        <v>39.232277000000003</v>
      </c>
      <c r="F451">
        <v>30.573304</v>
      </c>
      <c r="G451" t="str">
        <f t="shared" si="7"/>
        <v>39,232277 - 30,573304</v>
      </c>
    </row>
    <row r="452" spans="1:7" x14ac:dyDescent="0.25">
      <c r="A452" t="s">
        <v>972</v>
      </c>
      <c r="B452" t="s">
        <v>973</v>
      </c>
      <c r="C452" t="s">
        <v>1935</v>
      </c>
      <c r="D452" t="s">
        <v>540</v>
      </c>
      <c r="E452">
        <v>37.709662999999999</v>
      </c>
      <c r="F452">
        <v>33.542482999999997</v>
      </c>
      <c r="G452" t="str">
        <f t="shared" si="7"/>
        <v>37,709663 - 33,542483</v>
      </c>
    </row>
    <row r="453" spans="1:7" x14ac:dyDescent="0.25">
      <c r="A453" t="s">
        <v>974</v>
      </c>
      <c r="B453" t="s">
        <v>975</v>
      </c>
      <c r="C453" t="s">
        <v>2071</v>
      </c>
      <c r="D453" t="s">
        <v>1666</v>
      </c>
      <c r="E453">
        <v>41.095883741974141</v>
      </c>
      <c r="F453">
        <v>30.687665199497527</v>
      </c>
      <c r="G453" t="str">
        <f t="shared" si="7"/>
        <v>41,0958837419741 - 30,6876651994975</v>
      </c>
    </row>
    <row r="454" spans="1:7" x14ac:dyDescent="0.25">
      <c r="A454" t="s">
        <v>976</v>
      </c>
      <c r="B454" t="s">
        <v>977</v>
      </c>
      <c r="C454" t="s">
        <v>1617</v>
      </c>
      <c r="D454" t="s">
        <v>1616</v>
      </c>
      <c r="E454">
        <v>39.739803999999999</v>
      </c>
      <c r="F454">
        <v>37.001533999999999</v>
      </c>
      <c r="G454" t="str">
        <f t="shared" si="7"/>
        <v>39,739804 - 37,001534</v>
      </c>
    </row>
    <row r="455" spans="1:7" x14ac:dyDescent="0.25">
      <c r="A455" t="s">
        <v>978</v>
      </c>
      <c r="B455" t="s">
        <v>979</v>
      </c>
      <c r="C455" t="s">
        <v>1582</v>
      </c>
      <c r="D455" t="s">
        <v>1581</v>
      </c>
      <c r="E455">
        <v>38.078290000000003</v>
      </c>
      <c r="F455">
        <v>26.930230000000002</v>
      </c>
      <c r="G455" t="str">
        <f t="shared" si="7"/>
        <v>38,07829 - 26,93023</v>
      </c>
    </row>
    <row r="456" spans="1:7" x14ac:dyDescent="0.25">
      <c r="A456" t="s">
        <v>980</v>
      </c>
      <c r="B456" t="s">
        <v>981</v>
      </c>
      <c r="C456" t="s">
        <v>1388</v>
      </c>
      <c r="D456" t="s">
        <v>1387</v>
      </c>
      <c r="E456">
        <v>38.513674999999999</v>
      </c>
      <c r="F456">
        <v>43.377628000000001</v>
      </c>
      <c r="G456" t="str">
        <f t="shared" si="7"/>
        <v>38,513675 - 43,377628</v>
      </c>
    </row>
    <row r="457" spans="1:7" x14ac:dyDescent="0.25">
      <c r="A457" t="s">
        <v>982</v>
      </c>
      <c r="B457" t="s">
        <v>983</v>
      </c>
      <c r="C457" t="s">
        <v>1380</v>
      </c>
      <c r="D457" t="s">
        <v>1379</v>
      </c>
      <c r="E457">
        <v>38.589663000000002</v>
      </c>
      <c r="F457">
        <v>34.678972000000002</v>
      </c>
      <c r="G457" t="str">
        <f t="shared" si="7"/>
        <v>38,589663 - 34,678972</v>
      </c>
    </row>
    <row r="458" spans="1:7" x14ac:dyDescent="0.25">
      <c r="A458" t="s">
        <v>984</v>
      </c>
      <c r="B458" t="s">
        <v>985</v>
      </c>
      <c r="C458" t="s">
        <v>1513</v>
      </c>
      <c r="D458" t="s">
        <v>1512</v>
      </c>
      <c r="E458">
        <v>39.008420999999998</v>
      </c>
      <c r="F458">
        <v>34.466965999999999</v>
      </c>
      <c r="G458" t="str">
        <f t="shared" si="7"/>
        <v>39,008421 - 34,466966</v>
      </c>
    </row>
    <row r="459" spans="1:7" x14ac:dyDescent="0.25">
      <c r="A459" t="s">
        <v>987</v>
      </c>
      <c r="B459" t="s">
        <v>988</v>
      </c>
      <c r="C459" t="s">
        <v>1749</v>
      </c>
      <c r="D459" t="s">
        <v>139</v>
      </c>
      <c r="E459">
        <v>41.419142999999998</v>
      </c>
      <c r="F459">
        <v>33.791933999999998</v>
      </c>
      <c r="G459" t="str">
        <f t="shared" si="7"/>
        <v>41,419143 - 33,791934</v>
      </c>
    </row>
    <row r="460" spans="1:7" x14ac:dyDescent="0.25">
      <c r="A460" t="s">
        <v>990</v>
      </c>
      <c r="B460" t="s">
        <v>991</v>
      </c>
      <c r="C460" t="s">
        <v>1845</v>
      </c>
      <c r="D460" t="s">
        <v>345</v>
      </c>
      <c r="E460">
        <v>36.214163999999997</v>
      </c>
      <c r="F460">
        <v>29.675552</v>
      </c>
      <c r="G460" t="str">
        <f t="shared" si="7"/>
        <v>36,214164 - 29,675552</v>
      </c>
    </row>
    <row r="461" spans="1:7" x14ac:dyDescent="0.25">
      <c r="A461" t="s">
        <v>992</v>
      </c>
      <c r="B461" t="s">
        <v>993</v>
      </c>
      <c r="C461" t="s">
        <v>1936</v>
      </c>
      <c r="D461" t="s">
        <v>542</v>
      </c>
      <c r="E461">
        <v>41.070354999999999</v>
      </c>
      <c r="F461">
        <v>36.030264000000003</v>
      </c>
      <c r="G461" t="str">
        <f t="shared" si="7"/>
        <v>41,070355 - 36,030264</v>
      </c>
    </row>
    <row r="462" spans="1:7" x14ac:dyDescent="0.25">
      <c r="A462" t="s">
        <v>995</v>
      </c>
      <c r="B462" t="s">
        <v>996</v>
      </c>
      <c r="C462" t="s">
        <v>941</v>
      </c>
      <c r="D462" t="s">
        <v>940</v>
      </c>
      <c r="E462">
        <v>39.927844</v>
      </c>
      <c r="F462">
        <v>33.006642999999997</v>
      </c>
      <c r="G462" t="str">
        <f t="shared" si="7"/>
        <v>39,927844 - 33,006643</v>
      </c>
    </row>
    <row r="463" spans="1:7" x14ac:dyDescent="0.25">
      <c r="A463" t="s">
        <v>997</v>
      </c>
      <c r="B463" t="s">
        <v>998</v>
      </c>
      <c r="C463" t="s">
        <v>545</v>
      </c>
      <c r="D463" t="s">
        <v>544</v>
      </c>
      <c r="E463">
        <v>39.912457000000003</v>
      </c>
      <c r="F463">
        <v>32.970644999999998</v>
      </c>
      <c r="G463" t="str">
        <f t="shared" si="7"/>
        <v>39,912457 - 32,970645</v>
      </c>
    </row>
    <row r="464" spans="1:7" x14ac:dyDescent="0.25">
      <c r="A464" t="s">
        <v>999</v>
      </c>
      <c r="B464" t="s">
        <v>1000</v>
      </c>
      <c r="C464" t="s">
        <v>1270</v>
      </c>
      <c r="D464" t="s">
        <v>1269</v>
      </c>
      <c r="E464">
        <v>41.196451000000003</v>
      </c>
      <c r="F464">
        <v>32.625377</v>
      </c>
      <c r="G464" t="str">
        <f t="shared" si="7"/>
        <v>41,196451 - 32,625377</v>
      </c>
    </row>
    <row r="465" spans="1:7" x14ac:dyDescent="0.25">
      <c r="A465" t="s">
        <v>1001</v>
      </c>
      <c r="B465" t="s">
        <v>1002</v>
      </c>
      <c r="C465" t="s">
        <v>1290</v>
      </c>
      <c r="D465" t="s">
        <v>1289</v>
      </c>
      <c r="E465">
        <v>38.749828999999998</v>
      </c>
      <c r="F465">
        <v>35.402219000000002</v>
      </c>
      <c r="G465" t="str">
        <f t="shared" si="7"/>
        <v>38,749829 - 35,402219</v>
      </c>
    </row>
    <row r="466" spans="1:7" x14ac:dyDescent="0.25">
      <c r="A466" t="s">
        <v>1003</v>
      </c>
      <c r="B466" t="s">
        <v>1004</v>
      </c>
      <c r="C466" t="s">
        <v>2008</v>
      </c>
      <c r="D466" t="s">
        <v>1026</v>
      </c>
      <c r="E466">
        <v>40.415779999999998</v>
      </c>
      <c r="F466">
        <v>29.8231</v>
      </c>
      <c r="G466" t="str">
        <f t="shared" si="7"/>
        <v>40,41578 - 29,8231</v>
      </c>
    </row>
    <row r="467" spans="1:7" x14ac:dyDescent="0.25">
      <c r="A467" t="s">
        <v>1005</v>
      </c>
      <c r="B467" t="s">
        <v>1006</v>
      </c>
      <c r="C467" t="s">
        <v>1836</v>
      </c>
      <c r="D467" t="s">
        <v>327</v>
      </c>
      <c r="E467">
        <v>38.749828999999998</v>
      </c>
      <c r="F467">
        <v>35.402219000000002</v>
      </c>
      <c r="G467" t="str">
        <f t="shared" si="7"/>
        <v>38,749829 - 35,402219</v>
      </c>
    </row>
    <row r="468" spans="1:7" x14ac:dyDescent="0.25">
      <c r="A468" t="s">
        <v>1007</v>
      </c>
      <c r="B468" t="s">
        <v>1008</v>
      </c>
      <c r="C468" t="s">
        <v>723</v>
      </c>
      <c r="D468" t="s">
        <v>721</v>
      </c>
      <c r="E468">
        <v>40.939047000000002</v>
      </c>
      <c r="F468">
        <v>27.305059</v>
      </c>
      <c r="G468" t="str">
        <f t="shared" si="7"/>
        <v>40,939047 - 27,305059</v>
      </c>
    </row>
    <row r="469" spans="1:7" x14ac:dyDescent="0.25">
      <c r="A469" t="s">
        <v>1009</v>
      </c>
      <c r="B469" t="s">
        <v>1010</v>
      </c>
      <c r="C469" t="s">
        <v>1730</v>
      </c>
      <c r="D469" t="s">
        <v>69</v>
      </c>
      <c r="E469">
        <v>37.943165</v>
      </c>
      <c r="F469">
        <v>30.297128000000001</v>
      </c>
      <c r="G469" t="str">
        <f t="shared" si="7"/>
        <v>37,943165 - 30,297128</v>
      </c>
    </row>
    <row r="470" spans="1:7" x14ac:dyDescent="0.25">
      <c r="A470" t="s">
        <v>1011</v>
      </c>
      <c r="B470" t="s">
        <v>1012</v>
      </c>
      <c r="C470" t="s">
        <v>1224</v>
      </c>
      <c r="D470" t="s">
        <v>1223</v>
      </c>
      <c r="E470">
        <v>37.780878000000001</v>
      </c>
      <c r="F470">
        <v>30.545135999999999</v>
      </c>
      <c r="G470" t="str">
        <f t="shared" si="7"/>
        <v>37,780878 - 30,545136</v>
      </c>
    </row>
    <row r="471" spans="1:7" x14ac:dyDescent="0.25">
      <c r="A471" t="s">
        <v>1013</v>
      </c>
      <c r="B471" t="s">
        <v>1014</v>
      </c>
      <c r="C471" t="s">
        <v>2045</v>
      </c>
      <c r="D471" t="s">
        <v>1503</v>
      </c>
      <c r="E471">
        <v>40.128839999999997</v>
      </c>
      <c r="F471">
        <v>39.432259999999999</v>
      </c>
      <c r="G471" t="str">
        <f t="shared" si="7"/>
        <v>40,12884 - 39,43226</v>
      </c>
    </row>
    <row r="472" spans="1:7" x14ac:dyDescent="0.25">
      <c r="A472" t="s">
        <v>1015</v>
      </c>
      <c r="B472" t="s">
        <v>1016</v>
      </c>
      <c r="C472" t="s">
        <v>1720</v>
      </c>
      <c r="D472" t="s">
        <v>47</v>
      </c>
      <c r="E472">
        <v>36.600906000000002</v>
      </c>
      <c r="F472">
        <v>30.543500999999999</v>
      </c>
      <c r="G472" t="str">
        <f t="shared" si="7"/>
        <v>36,600906 - 30,543501</v>
      </c>
    </row>
    <row r="473" spans="1:7" x14ac:dyDescent="0.25">
      <c r="A473" t="s">
        <v>1017</v>
      </c>
      <c r="B473" t="s">
        <v>1018</v>
      </c>
      <c r="C473" t="s">
        <v>1142</v>
      </c>
      <c r="D473" t="s">
        <v>1141</v>
      </c>
      <c r="E473">
        <v>38.729790000000001</v>
      </c>
      <c r="F473">
        <v>31.044477000000001</v>
      </c>
      <c r="G473" t="str">
        <f t="shared" si="7"/>
        <v>38,72979 - 31,044477</v>
      </c>
    </row>
    <row r="474" spans="1:7" x14ac:dyDescent="0.25">
      <c r="A474" t="s">
        <v>1019</v>
      </c>
      <c r="B474" t="s">
        <v>1020</v>
      </c>
      <c r="C474" t="s">
        <v>1495</v>
      </c>
      <c r="D474" t="s">
        <v>1494</v>
      </c>
      <c r="E474">
        <v>40.272266000000002</v>
      </c>
      <c r="F474">
        <v>27.502784999999999</v>
      </c>
      <c r="G474" t="str">
        <f t="shared" si="7"/>
        <v>40,272266 - 27,502785</v>
      </c>
    </row>
    <row r="475" spans="1:7" x14ac:dyDescent="0.25">
      <c r="A475" t="s">
        <v>1022</v>
      </c>
      <c r="B475" t="s">
        <v>1023</v>
      </c>
      <c r="C475" t="s">
        <v>1086</v>
      </c>
      <c r="D475" t="s">
        <v>1085</v>
      </c>
      <c r="E475">
        <v>36.921686000000001</v>
      </c>
      <c r="F475">
        <v>30.663936</v>
      </c>
      <c r="G475" t="str">
        <f t="shared" si="7"/>
        <v>36,921686 - 30,663936</v>
      </c>
    </row>
    <row r="476" spans="1:7" x14ac:dyDescent="0.25">
      <c r="A476" t="s">
        <v>1024</v>
      </c>
      <c r="B476" t="s">
        <v>1025</v>
      </c>
      <c r="C476" t="s">
        <v>1324</v>
      </c>
      <c r="D476" t="s">
        <v>1323</v>
      </c>
      <c r="E476">
        <v>39.170558</v>
      </c>
      <c r="F476">
        <v>34.149225000000001</v>
      </c>
      <c r="G476" t="str">
        <f t="shared" si="7"/>
        <v>39,170558 - 34,149225</v>
      </c>
    </row>
    <row r="477" spans="1:7" x14ac:dyDescent="0.25">
      <c r="A477" t="s">
        <v>1026</v>
      </c>
      <c r="B477" t="s">
        <v>1027</v>
      </c>
      <c r="C477" t="s">
        <v>1732</v>
      </c>
      <c r="D477" t="s">
        <v>79</v>
      </c>
      <c r="E477">
        <v>40.867643000000001</v>
      </c>
      <c r="F477">
        <v>26.625184000000001</v>
      </c>
      <c r="G477" t="str">
        <f t="shared" si="7"/>
        <v>40,867643 - 26,625184</v>
      </c>
    </row>
    <row r="478" spans="1:7" x14ac:dyDescent="0.25">
      <c r="A478" t="s">
        <v>1028</v>
      </c>
      <c r="B478" t="s">
        <v>1029</v>
      </c>
      <c r="C478" t="s">
        <v>1983</v>
      </c>
      <c r="D478" t="s">
        <v>867</v>
      </c>
      <c r="E478">
        <v>40.917271</v>
      </c>
      <c r="F478">
        <v>38.520643999999997</v>
      </c>
      <c r="G478" t="str">
        <f t="shared" si="7"/>
        <v>40,917271 - 38,520644</v>
      </c>
    </row>
    <row r="479" spans="1:7" x14ac:dyDescent="0.25">
      <c r="A479" t="s">
        <v>1030</v>
      </c>
      <c r="B479" t="s">
        <v>1031</v>
      </c>
      <c r="C479" t="s">
        <v>1124</v>
      </c>
      <c r="D479" t="s">
        <v>1123</v>
      </c>
      <c r="E479">
        <v>37.694288999999998</v>
      </c>
      <c r="F479">
        <v>31.724256</v>
      </c>
      <c r="G479" t="str">
        <f t="shared" si="7"/>
        <v>37,694289 - 31,724256</v>
      </c>
    </row>
    <row r="480" spans="1:7" x14ac:dyDescent="0.25">
      <c r="A480" t="s">
        <v>1032</v>
      </c>
      <c r="B480" t="s">
        <v>1033</v>
      </c>
      <c r="C480" t="s">
        <v>870</v>
      </c>
      <c r="D480" t="s">
        <v>869</v>
      </c>
      <c r="E480">
        <v>37.921030999999999</v>
      </c>
      <c r="F480">
        <v>31.537344000000001</v>
      </c>
      <c r="G480" t="str">
        <f t="shared" si="7"/>
        <v>37,921031 - 31,537344</v>
      </c>
    </row>
    <row r="481" spans="1:7" x14ac:dyDescent="0.25">
      <c r="A481" t="s">
        <v>1034</v>
      </c>
      <c r="B481" t="s">
        <v>1035</v>
      </c>
      <c r="C481" t="s">
        <v>1843</v>
      </c>
      <c r="D481" t="s">
        <v>341</v>
      </c>
      <c r="E481">
        <v>36.498333000000002</v>
      </c>
      <c r="F481">
        <v>36.371698000000002</v>
      </c>
      <c r="G481" t="str">
        <f t="shared" si="7"/>
        <v>36,498333 - 36,371698</v>
      </c>
    </row>
    <row r="482" spans="1:7" x14ac:dyDescent="0.25">
      <c r="A482" t="s">
        <v>1036</v>
      </c>
      <c r="B482" t="s">
        <v>1037</v>
      </c>
      <c r="C482" t="s">
        <v>802</v>
      </c>
      <c r="D482" t="s">
        <v>801</v>
      </c>
      <c r="E482">
        <v>36.498396</v>
      </c>
      <c r="F482">
        <v>36.371735999999999</v>
      </c>
      <c r="G482" t="str">
        <f t="shared" si="7"/>
        <v>36,498396 - 36,371736</v>
      </c>
    </row>
    <row r="483" spans="1:7" x14ac:dyDescent="0.25">
      <c r="A483" t="s">
        <v>1038</v>
      </c>
      <c r="B483" t="s">
        <v>1039</v>
      </c>
      <c r="C483" t="s">
        <v>1838</v>
      </c>
      <c r="D483" t="s">
        <v>331</v>
      </c>
      <c r="E483">
        <v>39.856288999999997</v>
      </c>
      <c r="F483">
        <v>33.484611999999998</v>
      </c>
      <c r="G483" t="str">
        <f t="shared" si="7"/>
        <v>39,856289 - 33,484612</v>
      </c>
    </row>
    <row r="484" spans="1:7" x14ac:dyDescent="0.25">
      <c r="A484" t="s">
        <v>1040</v>
      </c>
      <c r="B484" t="s">
        <v>1041</v>
      </c>
      <c r="C484" t="s">
        <v>1184</v>
      </c>
      <c r="D484" t="s">
        <v>1183</v>
      </c>
      <c r="E484">
        <v>39.775838</v>
      </c>
      <c r="F484">
        <v>30.553260000000002</v>
      </c>
      <c r="G484" t="str">
        <f t="shared" si="7"/>
        <v>39,775838 - 30,55326</v>
      </c>
    </row>
    <row r="485" spans="1:7" x14ac:dyDescent="0.25">
      <c r="A485" t="s">
        <v>1042</v>
      </c>
      <c r="B485" t="s">
        <v>1043</v>
      </c>
      <c r="C485" t="s">
        <v>753</v>
      </c>
      <c r="D485" t="s">
        <v>751</v>
      </c>
      <c r="E485">
        <v>39.281303000000001</v>
      </c>
      <c r="F485">
        <v>30.528593000000001</v>
      </c>
      <c r="G485" t="str">
        <f t="shared" si="7"/>
        <v>39,281303 - 30,528593</v>
      </c>
    </row>
    <row r="486" spans="1:7" x14ac:dyDescent="0.25">
      <c r="A486" t="s">
        <v>1044</v>
      </c>
      <c r="B486" t="s">
        <v>1045</v>
      </c>
      <c r="C486" t="s">
        <v>2069</v>
      </c>
      <c r="D486" t="s">
        <v>1659</v>
      </c>
      <c r="E486">
        <v>41.731422755615824</v>
      </c>
      <c r="F486">
        <v>27.224404040067437</v>
      </c>
      <c r="G486" t="str">
        <f t="shared" si="7"/>
        <v>41,7314227556158 - 27,2244040400674</v>
      </c>
    </row>
    <row r="487" spans="1:7" x14ac:dyDescent="0.25">
      <c r="A487" t="s">
        <v>1046</v>
      </c>
      <c r="B487" t="s">
        <v>1047</v>
      </c>
      <c r="C487" t="s">
        <v>1813</v>
      </c>
      <c r="D487" t="s">
        <v>274</v>
      </c>
      <c r="E487">
        <v>39.170558</v>
      </c>
      <c r="F487">
        <v>34.149225000000001</v>
      </c>
      <c r="G487" t="str">
        <f t="shared" si="7"/>
        <v>39,170558 - 34,149225</v>
      </c>
    </row>
    <row r="488" spans="1:7" x14ac:dyDescent="0.25">
      <c r="A488" t="s">
        <v>1048</v>
      </c>
      <c r="B488" t="s">
        <v>1049</v>
      </c>
      <c r="C488" t="s">
        <v>1471</v>
      </c>
      <c r="D488" t="s">
        <v>1470</v>
      </c>
      <c r="E488">
        <v>36.778928999999998</v>
      </c>
      <c r="F488">
        <v>31.426172000000001</v>
      </c>
      <c r="G488" t="str">
        <f t="shared" si="7"/>
        <v>36,778929 - 31,426172</v>
      </c>
    </row>
    <row r="489" spans="1:7" x14ac:dyDescent="0.25">
      <c r="A489" t="s">
        <v>1050</v>
      </c>
      <c r="B489" t="s">
        <v>1051</v>
      </c>
      <c r="C489" t="s">
        <v>1370</v>
      </c>
      <c r="D489" t="s">
        <v>1369</v>
      </c>
      <c r="E489">
        <v>36.778928999999998</v>
      </c>
      <c r="F489">
        <v>31.426172000000001</v>
      </c>
      <c r="G489" t="str">
        <f t="shared" si="7"/>
        <v>36,778929 - 31,426172</v>
      </c>
    </row>
    <row r="490" spans="1:7" x14ac:dyDescent="0.25">
      <c r="A490" t="s">
        <v>1052</v>
      </c>
      <c r="B490" t="s">
        <v>1053</v>
      </c>
      <c r="C490" t="s">
        <v>1456</v>
      </c>
      <c r="D490" t="s">
        <v>1455</v>
      </c>
      <c r="E490">
        <v>41.453181000000001</v>
      </c>
      <c r="F490">
        <v>31.776978</v>
      </c>
      <c r="G490" t="str">
        <f t="shared" si="7"/>
        <v>41,453181 - 31,776978</v>
      </c>
    </row>
    <row r="491" spans="1:7" x14ac:dyDescent="0.25">
      <c r="A491" t="s">
        <v>1055</v>
      </c>
      <c r="B491" t="s">
        <v>1056</v>
      </c>
      <c r="C491" t="s">
        <v>796</v>
      </c>
      <c r="D491" t="s">
        <v>795</v>
      </c>
      <c r="E491">
        <v>37.612400000000001</v>
      </c>
      <c r="F491">
        <v>29.014600000000002</v>
      </c>
      <c r="G491" t="str">
        <f t="shared" si="7"/>
        <v>37,6124 - 29,0146</v>
      </c>
    </row>
    <row r="492" spans="1:7" x14ac:dyDescent="0.25">
      <c r="A492" t="s">
        <v>1057</v>
      </c>
      <c r="B492" t="s">
        <v>1058</v>
      </c>
      <c r="C492" t="s">
        <v>2001</v>
      </c>
      <c r="D492" t="s">
        <v>1009</v>
      </c>
      <c r="E492">
        <v>40.473229000000003</v>
      </c>
      <c r="F492">
        <v>32.651528999999996</v>
      </c>
      <c r="G492" t="str">
        <f t="shared" si="7"/>
        <v>40,473229 - 32,651529</v>
      </c>
    </row>
    <row r="493" spans="1:7" x14ac:dyDescent="0.25">
      <c r="A493" t="s">
        <v>1059</v>
      </c>
      <c r="B493" t="s">
        <v>1060</v>
      </c>
      <c r="C493" t="s">
        <v>2076</v>
      </c>
      <c r="D493" t="s">
        <v>1684</v>
      </c>
      <c r="E493">
        <v>37.187930000000001</v>
      </c>
      <c r="F493">
        <v>40.592010000000002</v>
      </c>
      <c r="G493" t="str">
        <f t="shared" si="7"/>
        <v>37,18793 - 40,59201</v>
      </c>
    </row>
    <row r="494" spans="1:7" x14ac:dyDescent="0.25">
      <c r="A494" t="s">
        <v>1061</v>
      </c>
      <c r="B494" t="s">
        <v>1062</v>
      </c>
      <c r="C494" t="s">
        <v>2058</v>
      </c>
      <c r="D494" t="s">
        <v>1610</v>
      </c>
      <c r="E494">
        <v>36.710949999999997</v>
      </c>
      <c r="F494">
        <v>37.119019999999999</v>
      </c>
      <c r="G494" t="str">
        <f t="shared" si="7"/>
        <v>36,71095 - 37,11902</v>
      </c>
    </row>
    <row r="495" spans="1:7" x14ac:dyDescent="0.25">
      <c r="A495" t="s">
        <v>1063</v>
      </c>
      <c r="B495" t="s">
        <v>1064</v>
      </c>
      <c r="C495" t="s">
        <v>1088</v>
      </c>
      <c r="D495" t="s">
        <v>1087</v>
      </c>
      <c r="E495">
        <v>38.370234000000004</v>
      </c>
      <c r="F495">
        <v>31.438488</v>
      </c>
      <c r="G495" t="str">
        <f t="shared" si="7"/>
        <v>38,370234 - 31,438488</v>
      </c>
    </row>
    <row r="496" spans="1:7" x14ac:dyDescent="0.25">
      <c r="A496" t="s">
        <v>1065</v>
      </c>
      <c r="B496" t="s">
        <v>1066</v>
      </c>
      <c r="C496" t="s">
        <v>714</v>
      </c>
      <c r="D496" t="s">
        <v>712</v>
      </c>
      <c r="E496">
        <v>38.501328999999998</v>
      </c>
      <c r="F496">
        <v>31.267916</v>
      </c>
      <c r="G496" t="str">
        <f t="shared" si="7"/>
        <v>38,501329 - 31,267916</v>
      </c>
    </row>
    <row r="497" spans="1:7" x14ac:dyDescent="0.25">
      <c r="A497" t="s">
        <v>1067</v>
      </c>
      <c r="B497" t="s">
        <v>1068</v>
      </c>
      <c r="C497" t="s">
        <v>103</v>
      </c>
      <c r="D497" t="s">
        <v>102</v>
      </c>
      <c r="E497">
        <v>41.730795000000001</v>
      </c>
      <c r="F497">
        <v>27.224622</v>
      </c>
      <c r="G497" t="str">
        <f t="shared" si="7"/>
        <v>41,730795 - 27,224622</v>
      </c>
    </row>
    <row r="498" spans="1:7" x14ac:dyDescent="0.25">
      <c r="A498" t="s">
        <v>1069</v>
      </c>
      <c r="B498" t="s">
        <v>1070</v>
      </c>
      <c r="C498" t="s">
        <v>1162</v>
      </c>
      <c r="D498" t="s">
        <v>1161</v>
      </c>
      <c r="E498">
        <v>37.784649999999999</v>
      </c>
      <c r="F498">
        <v>29.091100000000001</v>
      </c>
      <c r="G498" t="str">
        <f t="shared" si="7"/>
        <v>37,78465 - 29,0911</v>
      </c>
    </row>
    <row r="499" spans="1:7" x14ac:dyDescent="0.25">
      <c r="A499" t="s">
        <v>1071</v>
      </c>
      <c r="B499" t="s">
        <v>1072</v>
      </c>
      <c r="C499" t="s">
        <v>1812</v>
      </c>
      <c r="D499" t="s">
        <v>12</v>
      </c>
      <c r="E499">
        <v>40.775984000000001</v>
      </c>
      <c r="F499">
        <v>29.974115000000001</v>
      </c>
      <c r="G499" t="str">
        <f t="shared" si="7"/>
        <v>40,775984 - 29,974115</v>
      </c>
    </row>
    <row r="500" spans="1:7" x14ac:dyDescent="0.25">
      <c r="A500" t="s">
        <v>1073</v>
      </c>
      <c r="B500" t="s">
        <v>1074</v>
      </c>
      <c r="C500" t="s">
        <v>1390</v>
      </c>
      <c r="D500" t="s">
        <v>1389</v>
      </c>
      <c r="E500">
        <v>38.513674999999999</v>
      </c>
      <c r="F500">
        <v>43.377628000000001</v>
      </c>
      <c r="G500" t="str">
        <f t="shared" si="7"/>
        <v>38,513675 - 43,377628</v>
      </c>
    </row>
    <row r="501" spans="1:7" x14ac:dyDescent="0.25">
      <c r="A501" t="s">
        <v>1075</v>
      </c>
      <c r="B501" t="s">
        <v>1076</v>
      </c>
      <c r="C501" t="s">
        <v>875</v>
      </c>
      <c r="D501" t="s">
        <v>873</v>
      </c>
      <c r="E501">
        <v>38.789190144387902</v>
      </c>
      <c r="F501">
        <v>30.457296292186498</v>
      </c>
      <c r="G501" t="str">
        <f t="shared" si="7"/>
        <v>38,7891901443879 - 30,4572962921865</v>
      </c>
    </row>
    <row r="502" spans="1:7" x14ac:dyDescent="0.25">
      <c r="A502" t="s">
        <v>1077</v>
      </c>
      <c r="B502" t="s">
        <v>1078</v>
      </c>
      <c r="C502" t="s">
        <v>1602</v>
      </c>
      <c r="D502" t="s">
        <v>1600</v>
      </c>
      <c r="E502">
        <v>40.71777228929728</v>
      </c>
      <c r="F502">
        <v>31.474128007458084</v>
      </c>
      <c r="G502" t="str">
        <f t="shared" si="7"/>
        <v>40,7177722892973 - 31,4741280074581</v>
      </c>
    </row>
    <row r="503" spans="1:7" x14ac:dyDescent="0.25">
      <c r="A503" t="s">
        <v>1079</v>
      </c>
      <c r="B503" t="s">
        <v>1080</v>
      </c>
      <c r="C503" t="s">
        <v>1094</v>
      </c>
      <c r="D503" t="s">
        <v>1093</v>
      </c>
      <c r="E503">
        <v>36.554174000000003</v>
      </c>
      <c r="F503">
        <v>31.977993000000001</v>
      </c>
      <c r="G503" t="str">
        <f t="shared" si="7"/>
        <v>36,554174 - 31,977993</v>
      </c>
    </row>
    <row r="504" spans="1:7" x14ac:dyDescent="0.25">
      <c r="A504" t="s">
        <v>1081</v>
      </c>
      <c r="B504" t="s">
        <v>1082</v>
      </c>
      <c r="C504" t="s">
        <v>1021</v>
      </c>
      <c r="D504" t="s">
        <v>1019</v>
      </c>
      <c r="E504">
        <v>40.040806000000003</v>
      </c>
      <c r="F504">
        <v>28.221028</v>
      </c>
      <c r="G504" t="str">
        <f t="shared" si="7"/>
        <v>40,040806 - 28,221028</v>
      </c>
    </row>
    <row r="505" spans="1:7" x14ac:dyDescent="0.25">
      <c r="A505" t="s">
        <v>1083</v>
      </c>
      <c r="B505" t="s">
        <v>1084</v>
      </c>
      <c r="C505" t="s">
        <v>1810</v>
      </c>
      <c r="D505" t="s">
        <v>269</v>
      </c>
      <c r="E505">
        <v>37.950322999999997</v>
      </c>
      <c r="F505">
        <v>32.509435000000003</v>
      </c>
      <c r="G505" t="str">
        <f t="shared" si="7"/>
        <v>37,950323 - 32,509435</v>
      </c>
    </row>
    <row r="506" spans="1:7" x14ac:dyDescent="0.25">
      <c r="A506" t="s">
        <v>1085</v>
      </c>
      <c r="B506" t="s">
        <v>1086</v>
      </c>
      <c r="C506" t="s">
        <v>1842</v>
      </c>
      <c r="D506" t="s">
        <v>339</v>
      </c>
      <c r="E506">
        <v>37.061013000000003</v>
      </c>
      <c r="F506">
        <v>30.224584</v>
      </c>
      <c r="G506" t="str">
        <f t="shared" si="7"/>
        <v>37,061013 - 30,224584</v>
      </c>
    </row>
    <row r="507" spans="1:7" x14ac:dyDescent="0.25">
      <c r="A507" t="s">
        <v>1087</v>
      </c>
      <c r="B507" t="s">
        <v>1088</v>
      </c>
      <c r="C507" t="s">
        <v>1491</v>
      </c>
      <c r="D507" t="s">
        <v>1490</v>
      </c>
      <c r="E507">
        <v>40.251331</v>
      </c>
      <c r="F507">
        <v>27.438123999999998</v>
      </c>
      <c r="G507" t="str">
        <f t="shared" si="7"/>
        <v>40,251331 - 27,438124</v>
      </c>
    </row>
    <row r="508" spans="1:7" x14ac:dyDescent="0.25">
      <c r="A508" t="s">
        <v>1089</v>
      </c>
      <c r="B508" t="s">
        <v>1090</v>
      </c>
      <c r="C508" t="s">
        <v>1937</v>
      </c>
      <c r="D508" t="s">
        <v>546</v>
      </c>
      <c r="E508">
        <v>38.717714000000001</v>
      </c>
      <c r="F508">
        <v>39.866619</v>
      </c>
      <c r="G508" t="str">
        <f t="shared" si="7"/>
        <v>38,717714 - 39,866619</v>
      </c>
    </row>
    <row r="509" spans="1:7" x14ac:dyDescent="0.25">
      <c r="A509" t="s">
        <v>1091</v>
      </c>
      <c r="B509" t="s">
        <v>1092</v>
      </c>
      <c r="C509" t="s">
        <v>1841</v>
      </c>
      <c r="D509" t="s">
        <v>337</v>
      </c>
      <c r="E509">
        <v>37.461675999999997</v>
      </c>
      <c r="F509">
        <v>35.823090000000001</v>
      </c>
      <c r="G509" t="str">
        <f t="shared" si="7"/>
        <v>37,461676 - 35,82309</v>
      </c>
    </row>
    <row r="510" spans="1:7" x14ac:dyDescent="0.25">
      <c r="A510" t="s">
        <v>1093</v>
      </c>
      <c r="B510" t="s">
        <v>1094</v>
      </c>
      <c r="C510" t="s">
        <v>1751</v>
      </c>
      <c r="D510" t="s">
        <v>143</v>
      </c>
      <c r="E510">
        <v>41.476236999999998</v>
      </c>
      <c r="F510">
        <v>32.340815999999997</v>
      </c>
      <c r="G510" t="str">
        <f t="shared" si="7"/>
        <v>41,476237 - 32,340816</v>
      </c>
    </row>
    <row r="511" spans="1:7" x14ac:dyDescent="0.25">
      <c r="A511" t="s">
        <v>1095</v>
      </c>
      <c r="B511" t="s">
        <v>1096</v>
      </c>
      <c r="C511" t="s">
        <v>1743</v>
      </c>
      <c r="D511" t="s">
        <v>126</v>
      </c>
      <c r="E511">
        <v>41.43627</v>
      </c>
      <c r="F511">
        <v>31.743455000000001</v>
      </c>
      <c r="G511" t="str">
        <f t="shared" si="7"/>
        <v>41,43627 - 31,743455</v>
      </c>
    </row>
    <row r="512" spans="1:7" x14ac:dyDescent="0.25">
      <c r="A512" t="s">
        <v>1097</v>
      </c>
      <c r="B512" t="s">
        <v>1098</v>
      </c>
      <c r="C512" t="s">
        <v>1148</v>
      </c>
      <c r="D512" t="s">
        <v>1147</v>
      </c>
      <c r="E512">
        <v>40.399422000000001</v>
      </c>
      <c r="F512">
        <v>27.794895</v>
      </c>
      <c r="G512" t="str">
        <f t="shared" si="7"/>
        <v>40,399422 - 27,794895</v>
      </c>
    </row>
    <row r="513" spans="1:7" x14ac:dyDescent="0.25">
      <c r="A513" t="s">
        <v>1099</v>
      </c>
      <c r="B513" t="s">
        <v>1100</v>
      </c>
      <c r="C513" t="s">
        <v>778</v>
      </c>
      <c r="D513" t="s">
        <v>777</v>
      </c>
      <c r="E513">
        <v>37.85127</v>
      </c>
      <c r="F513">
        <v>28.05255</v>
      </c>
      <c r="G513" t="str">
        <f t="shared" ref="G513:G576" si="8">CONCATENATE(E513," - ",F513)</f>
        <v>37,85127 - 28,05255</v>
      </c>
    </row>
    <row r="514" spans="1:7" x14ac:dyDescent="0.25">
      <c r="A514" t="s">
        <v>1101</v>
      </c>
      <c r="B514" t="s">
        <v>1102</v>
      </c>
      <c r="C514" t="s">
        <v>1938</v>
      </c>
      <c r="D514" t="s">
        <v>548</v>
      </c>
      <c r="E514">
        <v>36.974308999999998</v>
      </c>
      <c r="F514">
        <v>28.685511999999999</v>
      </c>
      <c r="G514" t="str">
        <f t="shared" si="8"/>
        <v>36,974309 - 28,685512</v>
      </c>
    </row>
    <row r="515" spans="1:7" x14ac:dyDescent="0.25">
      <c r="A515" t="s">
        <v>1103</v>
      </c>
      <c r="B515" t="s">
        <v>1104</v>
      </c>
      <c r="C515" t="s">
        <v>688</v>
      </c>
      <c r="D515" t="s">
        <v>686</v>
      </c>
      <c r="E515">
        <v>40.525513189999998</v>
      </c>
      <c r="F515">
        <v>39.364325030000003</v>
      </c>
      <c r="G515" t="str">
        <f t="shared" si="8"/>
        <v>40,52551319 - 39,36432503</v>
      </c>
    </row>
    <row r="516" spans="1:7" x14ac:dyDescent="0.25">
      <c r="A516" t="s">
        <v>1105</v>
      </c>
      <c r="B516" t="s">
        <v>1106</v>
      </c>
      <c r="C516" t="s">
        <v>1884</v>
      </c>
      <c r="D516" t="s">
        <v>432</v>
      </c>
      <c r="E516">
        <v>38.540948</v>
      </c>
      <c r="F516">
        <v>28.642951</v>
      </c>
      <c r="G516" t="str">
        <f t="shared" si="8"/>
        <v>38,540948 - 28,642951</v>
      </c>
    </row>
    <row r="517" spans="1:7" x14ac:dyDescent="0.25">
      <c r="A517" t="s">
        <v>1107</v>
      </c>
      <c r="B517" t="s">
        <v>1108</v>
      </c>
      <c r="C517" t="s">
        <v>1840</v>
      </c>
      <c r="D517" t="s">
        <v>335</v>
      </c>
      <c r="E517">
        <v>39.096041999999997</v>
      </c>
      <c r="F517">
        <v>33.077297000000002</v>
      </c>
      <c r="G517" t="str">
        <f t="shared" si="8"/>
        <v>39,096042 - 33,077297</v>
      </c>
    </row>
    <row r="518" spans="1:7" x14ac:dyDescent="0.25">
      <c r="A518" t="s">
        <v>1109</v>
      </c>
      <c r="B518" t="s">
        <v>1110</v>
      </c>
      <c r="C518" t="s">
        <v>1444</v>
      </c>
      <c r="D518" t="s">
        <v>1443</v>
      </c>
      <c r="E518">
        <v>38.289577000000001</v>
      </c>
      <c r="F518">
        <v>31.177681</v>
      </c>
      <c r="G518" t="str">
        <f t="shared" si="8"/>
        <v>38,289577 - 31,177681</v>
      </c>
    </row>
    <row r="519" spans="1:7" x14ac:dyDescent="0.25">
      <c r="A519" t="s">
        <v>1111</v>
      </c>
      <c r="B519" t="s">
        <v>1112</v>
      </c>
      <c r="C519" t="s">
        <v>969</v>
      </c>
      <c r="D519" t="s">
        <v>968</v>
      </c>
      <c r="E519">
        <v>40.470934</v>
      </c>
      <c r="F519">
        <v>29.098875</v>
      </c>
      <c r="G519" t="str">
        <f t="shared" si="8"/>
        <v>40,470934 - 29,098875</v>
      </c>
    </row>
    <row r="520" spans="1:7" x14ac:dyDescent="0.25">
      <c r="A520" t="s">
        <v>1113</v>
      </c>
      <c r="B520" t="s">
        <v>1114</v>
      </c>
      <c r="C520" t="s">
        <v>1719</v>
      </c>
      <c r="D520" t="s">
        <v>45</v>
      </c>
      <c r="E520">
        <v>36.363807000000001</v>
      </c>
      <c r="F520">
        <v>30.303591999999998</v>
      </c>
      <c r="G520" t="str">
        <f t="shared" si="8"/>
        <v>36,363807 - 30,303592</v>
      </c>
    </row>
    <row r="521" spans="1:7" x14ac:dyDescent="0.25">
      <c r="A521" t="s">
        <v>1115</v>
      </c>
      <c r="B521" t="s">
        <v>1116</v>
      </c>
      <c r="C521" t="s">
        <v>2049</v>
      </c>
      <c r="D521" t="s">
        <v>1540</v>
      </c>
      <c r="E521">
        <v>37.927075933055505</v>
      </c>
      <c r="F521">
        <v>41.70090168714524</v>
      </c>
      <c r="G521" t="str">
        <f t="shared" si="8"/>
        <v>37,9270759330555 - 41,7009016871452</v>
      </c>
    </row>
    <row r="522" spans="1:7" x14ac:dyDescent="0.25">
      <c r="A522" t="s">
        <v>1117</v>
      </c>
      <c r="B522" t="s">
        <v>1118</v>
      </c>
      <c r="C522" t="s">
        <v>1414</v>
      </c>
      <c r="D522" t="s">
        <v>1413</v>
      </c>
      <c r="E522">
        <v>38.513674999999999</v>
      </c>
      <c r="F522">
        <v>43.377628000000001</v>
      </c>
      <c r="G522" t="str">
        <f t="shared" si="8"/>
        <v>38,513675 - 43,377628</v>
      </c>
    </row>
    <row r="523" spans="1:7" x14ac:dyDescent="0.25">
      <c r="A523" t="s">
        <v>1119</v>
      </c>
      <c r="B523" t="s">
        <v>1120</v>
      </c>
      <c r="C523" t="s">
        <v>872</v>
      </c>
      <c r="D523" t="s">
        <v>871</v>
      </c>
      <c r="E523">
        <v>41.843898000000003</v>
      </c>
      <c r="F523">
        <v>32.720311000000002</v>
      </c>
      <c r="G523" t="str">
        <f t="shared" si="8"/>
        <v>41,843898 - 32,720311</v>
      </c>
    </row>
    <row r="524" spans="1:7" x14ac:dyDescent="0.25">
      <c r="A524" t="s">
        <v>1121</v>
      </c>
      <c r="B524" t="s">
        <v>1122</v>
      </c>
      <c r="C524" t="s">
        <v>1515</v>
      </c>
      <c r="D524" t="s">
        <v>1514</v>
      </c>
      <c r="E524">
        <v>39.043073999999997</v>
      </c>
      <c r="F524">
        <v>34.440682000000002</v>
      </c>
      <c r="G524" t="str">
        <f t="shared" si="8"/>
        <v>39,043074 - 34,440682</v>
      </c>
    </row>
    <row r="525" spans="1:7" x14ac:dyDescent="0.25">
      <c r="A525" t="s">
        <v>1123</v>
      </c>
      <c r="B525" t="s">
        <v>1124</v>
      </c>
      <c r="C525" t="s">
        <v>1368</v>
      </c>
      <c r="D525" t="s">
        <v>1367</v>
      </c>
      <c r="E525">
        <v>38.589663000000002</v>
      </c>
      <c r="F525">
        <v>34.678972000000002</v>
      </c>
      <c r="G525" t="str">
        <f t="shared" si="8"/>
        <v>38,589663 - 34,678972</v>
      </c>
    </row>
    <row r="526" spans="1:7" x14ac:dyDescent="0.25">
      <c r="A526" t="s">
        <v>1125</v>
      </c>
      <c r="B526" t="s">
        <v>1126</v>
      </c>
      <c r="C526" t="s">
        <v>1837</v>
      </c>
      <c r="D526" t="s">
        <v>329</v>
      </c>
      <c r="E526">
        <v>37.849060999999999</v>
      </c>
      <c r="F526">
        <v>27.260888999999999</v>
      </c>
      <c r="G526" t="str">
        <f t="shared" si="8"/>
        <v>37,849061 - 27,260889</v>
      </c>
    </row>
    <row r="527" spans="1:7" x14ac:dyDescent="0.25">
      <c r="A527" t="s">
        <v>1127</v>
      </c>
      <c r="B527" t="s">
        <v>1128</v>
      </c>
      <c r="C527" t="s">
        <v>1645</v>
      </c>
      <c r="D527" t="s">
        <v>1643</v>
      </c>
      <c r="E527">
        <v>37.883562848486648</v>
      </c>
      <c r="F527">
        <v>36.621476399438897</v>
      </c>
      <c r="G527" t="str">
        <f t="shared" si="8"/>
        <v>37,8835628484866 - 36,6214763994389</v>
      </c>
    </row>
    <row r="528" spans="1:7" x14ac:dyDescent="0.25">
      <c r="A528" t="s">
        <v>1129</v>
      </c>
      <c r="B528" t="s">
        <v>1130</v>
      </c>
      <c r="C528" t="s">
        <v>1362</v>
      </c>
      <c r="D528" t="s">
        <v>1361</v>
      </c>
      <c r="E528">
        <v>37.849060999999999</v>
      </c>
      <c r="F528">
        <v>27.260888999999999</v>
      </c>
      <c r="G528" t="str">
        <f t="shared" si="8"/>
        <v>37,849061 - 27,260889</v>
      </c>
    </row>
    <row r="529" spans="1:7" x14ac:dyDescent="0.25">
      <c r="A529" t="s">
        <v>1131</v>
      </c>
      <c r="B529" t="s">
        <v>1132</v>
      </c>
      <c r="C529" t="s">
        <v>788</v>
      </c>
      <c r="D529" t="s">
        <v>787</v>
      </c>
      <c r="E529">
        <v>37.9086</v>
      </c>
      <c r="F529">
        <v>28.457529999999998</v>
      </c>
      <c r="G529" t="str">
        <f t="shared" si="8"/>
        <v>37,9086 - 28,45753</v>
      </c>
    </row>
    <row r="530" spans="1:7" x14ac:dyDescent="0.25">
      <c r="A530" t="s">
        <v>1133</v>
      </c>
      <c r="B530" t="s">
        <v>1134</v>
      </c>
      <c r="C530" t="s">
        <v>1996</v>
      </c>
      <c r="D530" t="s">
        <v>997</v>
      </c>
      <c r="E530">
        <v>40.626218999999999</v>
      </c>
      <c r="F530">
        <v>30.654639</v>
      </c>
      <c r="G530" t="str">
        <f t="shared" si="8"/>
        <v>40,626219 - 30,654639</v>
      </c>
    </row>
    <row r="531" spans="1:7" x14ac:dyDescent="0.25">
      <c r="A531" t="s">
        <v>1135</v>
      </c>
      <c r="B531" t="s">
        <v>1136</v>
      </c>
      <c r="C531" t="s">
        <v>1150</v>
      </c>
      <c r="D531" t="s">
        <v>1149</v>
      </c>
      <c r="E531">
        <v>37.784649999999999</v>
      </c>
      <c r="F531">
        <v>29.091100000000001</v>
      </c>
      <c r="G531" t="str">
        <f t="shared" si="8"/>
        <v>37,78465 - 29,0911</v>
      </c>
    </row>
    <row r="532" spans="1:7" x14ac:dyDescent="0.25">
      <c r="A532" t="s">
        <v>1137</v>
      </c>
      <c r="B532" t="s">
        <v>1138</v>
      </c>
      <c r="C532" t="s">
        <v>1883</v>
      </c>
      <c r="D532" t="s">
        <v>430</v>
      </c>
      <c r="E532">
        <v>39.545988000000001</v>
      </c>
      <c r="F532">
        <v>26.595835000000001</v>
      </c>
      <c r="G532" t="str">
        <f t="shared" si="8"/>
        <v>39,545988 - 26,595835</v>
      </c>
    </row>
    <row r="533" spans="1:7" x14ac:dyDescent="0.25">
      <c r="A533" t="s">
        <v>1139</v>
      </c>
      <c r="B533" t="s">
        <v>1140</v>
      </c>
      <c r="C533" t="s">
        <v>750</v>
      </c>
      <c r="D533" t="s">
        <v>748</v>
      </c>
      <c r="E533">
        <v>39.204532999999998</v>
      </c>
      <c r="F533">
        <v>30.583746000000001</v>
      </c>
      <c r="G533" t="str">
        <f t="shared" si="8"/>
        <v>39,204533 - 30,583746</v>
      </c>
    </row>
    <row r="534" spans="1:7" x14ac:dyDescent="0.25">
      <c r="A534" t="s">
        <v>1141</v>
      </c>
      <c r="B534" t="s">
        <v>1142</v>
      </c>
      <c r="C534" t="s">
        <v>1801</v>
      </c>
      <c r="D534" t="s">
        <v>251</v>
      </c>
      <c r="E534">
        <v>39.442095000000002</v>
      </c>
      <c r="F534">
        <v>30.006387</v>
      </c>
      <c r="G534" t="str">
        <f t="shared" si="8"/>
        <v>39,442095 - 30,006387</v>
      </c>
    </row>
    <row r="535" spans="1:7" x14ac:dyDescent="0.25">
      <c r="A535" t="s">
        <v>1143</v>
      </c>
      <c r="B535" t="s">
        <v>1144</v>
      </c>
      <c r="C535" t="s">
        <v>1066</v>
      </c>
      <c r="D535" t="s">
        <v>1065</v>
      </c>
      <c r="E535">
        <v>38.790436</v>
      </c>
      <c r="F535">
        <v>30.510663999999998</v>
      </c>
      <c r="G535" t="str">
        <f t="shared" si="8"/>
        <v>38,790436 - 30,510664</v>
      </c>
    </row>
    <row r="536" spans="1:7" x14ac:dyDescent="0.25">
      <c r="A536" t="s">
        <v>1145</v>
      </c>
      <c r="B536" t="s">
        <v>1146</v>
      </c>
      <c r="C536" t="s">
        <v>1346</v>
      </c>
      <c r="D536" t="s">
        <v>1345</v>
      </c>
      <c r="E536">
        <v>37.950322999999997</v>
      </c>
      <c r="F536">
        <v>32.509435000000003</v>
      </c>
      <c r="G536" t="str">
        <f t="shared" si="8"/>
        <v>37,950323 - 32,509435</v>
      </c>
    </row>
    <row r="537" spans="1:7" x14ac:dyDescent="0.25">
      <c r="A537" t="s">
        <v>1147</v>
      </c>
      <c r="B537" t="s">
        <v>1148</v>
      </c>
      <c r="C537" t="s">
        <v>1656</v>
      </c>
      <c r="D537" t="s">
        <v>1655</v>
      </c>
      <c r="E537">
        <v>38.208545000000001</v>
      </c>
      <c r="F537">
        <v>32.375183999999997</v>
      </c>
      <c r="G537" t="str">
        <f t="shared" si="8"/>
        <v>38,208545 - 32,375184</v>
      </c>
    </row>
    <row r="538" spans="1:7" x14ac:dyDescent="0.25">
      <c r="A538" t="s">
        <v>1149</v>
      </c>
      <c r="B538" t="s">
        <v>1150</v>
      </c>
      <c r="C538" t="s">
        <v>1885</v>
      </c>
      <c r="D538" t="s">
        <v>434</v>
      </c>
      <c r="E538">
        <v>40.347132999999999</v>
      </c>
      <c r="F538">
        <v>26.684052999999999</v>
      </c>
      <c r="G538" t="str">
        <f t="shared" si="8"/>
        <v>40,347133 - 26,684053</v>
      </c>
    </row>
    <row r="539" spans="1:7" x14ac:dyDescent="0.25">
      <c r="A539" t="s">
        <v>1151</v>
      </c>
      <c r="B539" t="s">
        <v>1152</v>
      </c>
      <c r="C539" t="s">
        <v>1735</v>
      </c>
      <c r="D539" t="s">
        <v>86</v>
      </c>
      <c r="E539">
        <v>41.404694924208947</v>
      </c>
      <c r="F539">
        <v>27.346905455011715</v>
      </c>
      <c r="G539" t="str">
        <f t="shared" si="8"/>
        <v>41,4046949242089 - 27,3469054550117</v>
      </c>
    </row>
    <row r="540" spans="1:7" x14ac:dyDescent="0.25">
      <c r="A540" t="s">
        <v>1153</v>
      </c>
      <c r="B540" t="s">
        <v>1154</v>
      </c>
      <c r="C540" t="s">
        <v>1834</v>
      </c>
      <c r="D540" t="s">
        <v>320</v>
      </c>
      <c r="E540">
        <v>40.049976999999998</v>
      </c>
      <c r="F540">
        <v>28.373061</v>
      </c>
      <c r="G540" t="str">
        <f t="shared" si="8"/>
        <v>40,049977 - 28,373061</v>
      </c>
    </row>
    <row r="541" spans="1:7" x14ac:dyDescent="0.25">
      <c r="A541" t="s">
        <v>1155</v>
      </c>
      <c r="B541" t="s">
        <v>1156</v>
      </c>
      <c r="C541" t="s">
        <v>1254</v>
      </c>
      <c r="D541" t="s">
        <v>1253</v>
      </c>
      <c r="E541">
        <v>37.780878000000001</v>
      </c>
      <c r="F541">
        <v>30.545135999999999</v>
      </c>
      <c r="G541" t="str">
        <f t="shared" si="8"/>
        <v>37,780878 - 30,545136</v>
      </c>
    </row>
    <row r="542" spans="1:7" x14ac:dyDescent="0.25">
      <c r="A542" t="s">
        <v>1157</v>
      </c>
      <c r="B542" t="s">
        <v>1158</v>
      </c>
      <c r="C542" t="s">
        <v>1068</v>
      </c>
      <c r="D542" t="s">
        <v>1067</v>
      </c>
      <c r="E542">
        <v>38.358341000000003</v>
      </c>
      <c r="F542">
        <v>33.983652999999997</v>
      </c>
      <c r="G542" t="str">
        <f t="shared" si="8"/>
        <v>38,358341 - 33,983653</v>
      </c>
    </row>
    <row r="543" spans="1:7" x14ac:dyDescent="0.25">
      <c r="A543" t="s">
        <v>1159</v>
      </c>
      <c r="B543" t="s">
        <v>1160</v>
      </c>
      <c r="C543" t="s">
        <v>1798</v>
      </c>
      <c r="D543" t="s">
        <v>245</v>
      </c>
      <c r="E543">
        <v>38.341723999999999</v>
      </c>
      <c r="F543">
        <v>38.255693000000001</v>
      </c>
      <c r="G543" t="str">
        <f t="shared" si="8"/>
        <v>38,341724 - 38,255693</v>
      </c>
    </row>
    <row r="544" spans="1:7" x14ac:dyDescent="0.25">
      <c r="A544" t="s">
        <v>1161</v>
      </c>
      <c r="B544" t="s">
        <v>1162</v>
      </c>
      <c r="C544" t="s">
        <v>78</v>
      </c>
      <c r="D544" t="s">
        <v>77</v>
      </c>
      <c r="E544">
        <v>40.884815000000003</v>
      </c>
      <c r="F544">
        <v>26.914489</v>
      </c>
      <c r="G544" t="str">
        <f t="shared" si="8"/>
        <v>40,884815 - 26,914489</v>
      </c>
    </row>
    <row r="545" spans="1:7" x14ac:dyDescent="0.25">
      <c r="A545" t="s">
        <v>1163</v>
      </c>
      <c r="B545" t="s">
        <v>1164</v>
      </c>
      <c r="C545" t="s">
        <v>1795</v>
      </c>
      <c r="D545" t="s">
        <v>237</v>
      </c>
      <c r="E545">
        <v>36.778928999999998</v>
      </c>
      <c r="F545">
        <v>31.426172000000001</v>
      </c>
      <c r="G545" t="str">
        <f t="shared" si="8"/>
        <v>36,778929 - 31,426172</v>
      </c>
    </row>
    <row r="546" spans="1:7" x14ac:dyDescent="0.25">
      <c r="A546" t="s">
        <v>1165</v>
      </c>
      <c r="B546" t="s">
        <v>1166</v>
      </c>
      <c r="C546" t="s">
        <v>1714</v>
      </c>
      <c r="D546" t="s">
        <v>39</v>
      </c>
      <c r="E546">
        <v>38.618482999999998</v>
      </c>
      <c r="F546">
        <v>27.422813000000001</v>
      </c>
      <c r="G546" t="str">
        <f t="shared" si="8"/>
        <v>38,618483 - 27,422813</v>
      </c>
    </row>
    <row r="547" spans="1:7" x14ac:dyDescent="0.25">
      <c r="A547" t="s">
        <v>1167</v>
      </c>
      <c r="B547" t="s">
        <v>1168</v>
      </c>
      <c r="C547" t="s">
        <v>1714</v>
      </c>
      <c r="D547" t="s">
        <v>229</v>
      </c>
      <c r="E547">
        <v>38.639097999999997</v>
      </c>
      <c r="F547">
        <v>27.445049000000001</v>
      </c>
      <c r="G547" t="str">
        <f t="shared" si="8"/>
        <v>38,639098 - 27,445049</v>
      </c>
    </row>
    <row r="548" spans="1:7" x14ac:dyDescent="0.25">
      <c r="A548" t="s">
        <v>1169</v>
      </c>
      <c r="B548" t="s">
        <v>1170</v>
      </c>
      <c r="C548" t="s">
        <v>2075</v>
      </c>
      <c r="D548" t="s">
        <v>1682</v>
      </c>
      <c r="E548">
        <v>37.315629999999999</v>
      </c>
      <c r="F548">
        <v>40.75553</v>
      </c>
      <c r="G548" t="str">
        <f t="shared" si="8"/>
        <v>37,31563 - 40,75553</v>
      </c>
    </row>
    <row r="549" spans="1:7" x14ac:dyDescent="0.25">
      <c r="A549" t="s">
        <v>1171</v>
      </c>
      <c r="B549" t="s">
        <v>1172</v>
      </c>
      <c r="C549" t="s">
        <v>76</v>
      </c>
      <c r="D549" t="s">
        <v>75</v>
      </c>
      <c r="E549">
        <v>40.969616000000002</v>
      </c>
      <c r="F549">
        <v>27.955455000000001</v>
      </c>
      <c r="G549" t="str">
        <f t="shared" si="8"/>
        <v>40,969616 - 27,955455</v>
      </c>
    </row>
    <row r="550" spans="1:7" x14ac:dyDescent="0.25">
      <c r="A550" t="s">
        <v>1173</v>
      </c>
      <c r="B550" t="s">
        <v>1174</v>
      </c>
      <c r="C550" t="s">
        <v>1832</v>
      </c>
      <c r="D550" t="s">
        <v>316</v>
      </c>
      <c r="E550">
        <v>36.864213999999997</v>
      </c>
      <c r="F550">
        <v>28.276287</v>
      </c>
      <c r="G550" t="str">
        <f t="shared" si="8"/>
        <v>36,864214 - 28,276287</v>
      </c>
    </row>
    <row r="551" spans="1:7" x14ac:dyDescent="0.25">
      <c r="A551" t="s">
        <v>1175</v>
      </c>
      <c r="B551" t="s">
        <v>1176</v>
      </c>
      <c r="C551" t="s">
        <v>620</v>
      </c>
      <c r="D551" t="s">
        <v>618</v>
      </c>
      <c r="E551">
        <v>39.285238999999997</v>
      </c>
      <c r="F551">
        <v>34.114032000000002</v>
      </c>
      <c r="G551" t="str">
        <f t="shared" si="8"/>
        <v>39,285239 - 34,114032</v>
      </c>
    </row>
    <row r="552" spans="1:7" x14ac:dyDescent="0.25">
      <c r="A552" t="s">
        <v>1177</v>
      </c>
      <c r="B552" t="s">
        <v>1178</v>
      </c>
      <c r="C552" t="s">
        <v>967</v>
      </c>
      <c r="D552" t="s">
        <v>966</v>
      </c>
      <c r="E552">
        <v>40.524349000000001</v>
      </c>
      <c r="F552">
        <v>35.298225000000002</v>
      </c>
      <c r="G552" t="str">
        <f t="shared" si="8"/>
        <v>40,524349 - 35,298225</v>
      </c>
    </row>
    <row r="553" spans="1:7" x14ac:dyDescent="0.25">
      <c r="A553" t="s">
        <v>1179</v>
      </c>
      <c r="B553" t="s">
        <v>1180</v>
      </c>
      <c r="C553" t="s">
        <v>2011</v>
      </c>
      <c r="D553" t="s">
        <v>1032</v>
      </c>
      <c r="E553">
        <v>40.453198999999998</v>
      </c>
      <c r="F553">
        <v>30.051625000000001</v>
      </c>
      <c r="G553" t="str">
        <f t="shared" si="8"/>
        <v>40,453199 - 30,051625</v>
      </c>
    </row>
    <row r="554" spans="1:7" x14ac:dyDescent="0.25">
      <c r="A554" t="s">
        <v>1181</v>
      </c>
      <c r="B554" t="s">
        <v>1182</v>
      </c>
      <c r="C554" t="s">
        <v>1829</v>
      </c>
      <c r="D554" t="s">
        <v>310</v>
      </c>
      <c r="E554">
        <v>38.611364999999999</v>
      </c>
      <c r="F554">
        <v>27.073278999999999</v>
      </c>
      <c r="G554" t="str">
        <f t="shared" si="8"/>
        <v>38,611365 - 27,073279</v>
      </c>
    </row>
    <row r="555" spans="1:7" x14ac:dyDescent="0.25">
      <c r="A555" t="s">
        <v>1183</v>
      </c>
      <c r="B555" t="s">
        <v>1184</v>
      </c>
      <c r="C555" t="s">
        <v>148</v>
      </c>
      <c r="D555" t="s">
        <v>147</v>
      </c>
      <c r="E555">
        <v>40.936697000000002</v>
      </c>
      <c r="F555">
        <v>32.071258999999998</v>
      </c>
      <c r="G555" t="str">
        <f t="shared" si="8"/>
        <v>40,936697 - 32,071259</v>
      </c>
    </row>
    <row r="556" spans="1:7" x14ac:dyDescent="0.25">
      <c r="A556" t="s">
        <v>1185</v>
      </c>
      <c r="B556" t="s">
        <v>1186</v>
      </c>
      <c r="C556" t="s">
        <v>1698</v>
      </c>
      <c r="D556" t="s">
        <v>1696</v>
      </c>
      <c r="E556">
        <v>40.77378996883332</v>
      </c>
      <c r="F556">
        <v>32.040585181105996</v>
      </c>
      <c r="G556" t="str">
        <f t="shared" si="8"/>
        <v>40,7737899688333 - 32,040585181106</v>
      </c>
    </row>
    <row r="557" spans="1:7" x14ac:dyDescent="0.25">
      <c r="A557" t="s">
        <v>1187</v>
      </c>
      <c r="B557" t="s">
        <v>1188</v>
      </c>
      <c r="C557" t="s">
        <v>1356</v>
      </c>
      <c r="D557" t="s">
        <v>1355</v>
      </c>
      <c r="E557">
        <v>37.950322999999997</v>
      </c>
      <c r="F557">
        <v>32.509435000000003</v>
      </c>
      <c r="G557" t="str">
        <f t="shared" si="8"/>
        <v>37,950323 - 32,509435</v>
      </c>
    </row>
    <row r="558" spans="1:7" x14ac:dyDescent="0.25">
      <c r="A558" t="s">
        <v>1189</v>
      </c>
      <c r="B558" t="s">
        <v>1190</v>
      </c>
      <c r="C558" t="s">
        <v>877</v>
      </c>
      <c r="D558" t="s">
        <v>876</v>
      </c>
      <c r="E558">
        <v>39.741669000000002</v>
      </c>
      <c r="F558">
        <v>40.268154000000003</v>
      </c>
      <c r="G558" t="str">
        <f t="shared" si="8"/>
        <v>39,741669 - 40,268154</v>
      </c>
    </row>
    <row r="559" spans="1:7" x14ac:dyDescent="0.25">
      <c r="A559" t="s">
        <v>1191</v>
      </c>
      <c r="B559" t="s">
        <v>1192</v>
      </c>
      <c r="C559" t="s">
        <v>1570</v>
      </c>
      <c r="D559" t="s">
        <v>1569</v>
      </c>
      <c r="E559">
        <v>38.033630000000002</v>
      </c>
      <c r="F559">
        <v>27.076280000000001</v>
      </c>
      <c r="G559" t="str">
        <f t="shared" si="8"/>
        <v>38,03363 - 27,07628</v>
      </c>
    </row>
    <row r="560" spans="1:7" x14ac:dyDescent="0.25">
      <c r="A560" t="s">
        <v>1193</v>
      </c>
      <c r="B560" t="s">
        <v>1194</v>
      </c>
      <c r="C560" t="s">
        <v>1788</v>
      </c>
      <c r="D560" t="s">
        <v>221</v>
      </c>
      <c r="E560">
        <v>36.8536359</v>
      </c>
      <c r="F560">
        <v>34.589464200000002</v>
      </c>
      <c r="G560" t="str">
        <f t="shared" si="8"/>
        <v>36,8536359 - 34,5894642</v>
      </c>
    </row>
    <row r="561" spans="1:7" x14ac:dyDescent="0.25">
      <c r="A561" t="s">
        <v>1195</v>
      </c>
      <c r="B561" t="s">
        <v>1196</v>
      </c>
      <c r="C561" t="s">
        <v>1827</v>
      </c>
      <c r="D561" t="s">
        <v>306</v>
      </c>
      <c r="E561">
        <v>40.867998</v>
      </c>
      <c r="F561">
        <v>35.465620999999999</v>
      </c>
      <c r="G561" t="str">
        <f t="shared" si="8"/>
        <v>40,867998 - 35,465621</v>
      </c>
    </row>
    <row r="562" spans="1:7" x14ac:dyDescent="0.25">
      <c r="A562" t="s">
        <v>1197</v>
      </c>
      <c r="B562" t="s">
        <v>1198</v>
      </c>
      <c r="C562" t="s">
        <v>2079</v>
      </c>
      <c r="D562" t="s">
        <v>1690</v>
      </c>
      <c r="E562">
        <v>37.40943</v>
      </c>
      <c r="F562">
        <v>41.378799999999998</v>
      </c>
      <c r="G562" t="str">
        <f t="shared" si="8"/>
        <v>37,40943 - 41,3788</v>
      </c>
    </row>
    <row r="563" spans="1:7" x14ac:dyDescent="0.25">
      <c r="A563" t="s">
        <v>1199</v>
      </c>
      <c r="B563" t="s">
        <v>1200</v>
      </c>
      <c r="C563" t="s">
        <v>1374</v>
      </c>
      <c r="D563" t="s">
        <v>1373</v>
      </c>
      <c r="E563">
        <v>37.849060999999999</v>
      </c>
      <c r="F563">
        <v>27.260888999999999</v>
      </c>
      <c r="G563" t="str">
        <f t="shared" si="8"/>
        <v>37,849061 - 27,260889</v>
      </c>
    </row>
    <row r="564" spans="1:7" x14ac:dyDescent="0.25">
      <c r="A564" t="s">
        <v>1201</v>
      </c>
      <c r="B564" t="s">
        <v>1202</v>
      </c>
      <c r="C564" t="s">
        <v>1574</v>
      </c>
      <c r="D564" t="s">
        <v>1573</v>
      </c>
      <c r="E564">
        <v>38.047559999999997</v>
      </c>
      <c r="F564">
        <v>27.055599999999998</v>
      </c>
      <c r="G564" t="str">
        <f t="shared" si="8"/>
        <v>38,04756 - 27,0556</v>
      </c>
    </row>
    <row r="565" spans="1:7" x14ac:dyDescent="0.25">
      <c r="A565" t="s">
        <v>1203</v>
      </c>
      <c r="B565" t="s">
        <v>1204</v>
      </c>
      <c r="C565" t="s">
        <v>1746</v>
      </c>
      <c r="D565" t="s">
        <v>132</v>
      </c>
      <c r="E565">
        <v>37.326410659338627</v>
      </c>
      <c r="F565">
        <v>27.776103758899815</v>
      </c>
      <c r="G565" t="str">
        <f t="shared" si="8"/>
        <v>37,3264106593386 - 27,7761037588998</v>
      </c>
    </row>
    <row r="566" spans="1:7" x14ac:dyDescent="0.25">
      <c r="A566" t="s">
        <v>1205</v>
      </c>
      <c r="B566" t="s">
        <v>1206</v>
      </c>
      <c r="C566" t="s">
        <v>1320</v>
      </c>
      <c r="D566" t="s">
        <v>1319</v>
      </c>
      <c r="E566">
        <v>38.749828999999998</v>
      </c>
      <c r="F566">
        <v>35.402219000000002</v>
      </c>
      <c r="G566" t="str">
        <f t="shared" si="8"/>
        <v>38,749829 - 35,402219</v>
      </c>
    </row>
    <row r="567" spans="1:7" x14ac:dyDescent="0.25">
      <c r="A567" t="s">
        <v>1207</v>
      </c>
      <c r="B567" t="s">
        <v>1208</v>
      </c>
      <c r="C567" t="s">
        <v>1310</v>
      </c>
      <c r="D567" t="s">
        <v>1309</v>
      </c>
      <c r="E567">
        <v>38.749828999999998</v>
      </c>
      <c r="F567">
        <v>35.402219000000002</v>
      </c>
      <c r="G567" t="str">
        <f t="shared" si="8"/>
        <v>38,749829 - 35,402219</v>
      </c>
    </row>
    <row r="568" spans="1:7" x14ac:dyDescent="0.25">
      <c r="A568" t="s">
        <v>1209</v>
      </c>
      <c r="B568" t="s">
        <v>1210</v>
      </c>
      <c r="C568" t="s">
        <v>1886</v>
      </c>
      <c r="D568" t="s">
        <v>436</v>
      </c>
      <c r="E568">
        <v>39.064892</v>
      </c>
      <c r="F568">
        <v>34.373945999999997</v>
      </c>
      <c r="G568" t="str">
        <f t="shared" si="8"/>
        <v>39,064892 - 34,373946</v>
      </c>
    </row>
    <row r="569" spans="1:7" x14ac:dyDescent="0.25">
      <c r="A569" t="s">
        <v>1211</v>
      </c>
      <c r="B569" t="s">
        <v>1212</v>
      </c>
      <c r="C569" t="s">
        <v>1824</v>
      </c>
      <c r="D569" t="s">
        <v>300</v>
      </c>
      <c r="E569">
        <v>40.375393000000003</v>
      </c>
      <c r="F569">
        <v>28.886734000000001</v>
      </c>
      <c r="G569" t="str">
        <f t="shared" si="8"/>
        <v>40,375393 - 28,886734</v>
      </c>
    </row>
    <row r="570" spans="1:7" x14ac:dyDescent="0.25">
      <c r="A570" t="s">
        <v>1213</v>
      </c>
      <c r="B570" t="s">
        <v>1214</v>
      </c>
      <c r="C570" t="s">
        <v>1785</v>
      </c>
      <c r="D570" t="s">
        <v>215</v>
      </c>
      <c r="E570">
        <v>37.194878000000003</v>
      </c>
      <c r="F570">
        <v>28.350798999999999</v>
      </c>
      <c r="G570" t="str">
        <f t="shared" si="8"/>
        <v>37,194878 - 28,350799</v>
      </c>
    </row>
    <row r="571" spans="1:7" x14ac:dyDescent="0.25">
      <c r="A571" t="s">
        <v>1215</v>
      </c>
      <c r="B571" t="s">
        <v>1216</v>
      </c>
      <c r="C571" t="s">
        <v>1984</v>
      </c>
      <c r="D571" t="s">
        <v>878</v>
      </c>
      <c r="E571">
        <v>38.996772999999997</v>
      </c>
      <c r="F571">
        <v>43.760584000000001</v>
      </c>
      <c r="G571" t="str">
        <f t="shared" si="8"/>
        <v>38,996773 - 43,760584</v>
      </c>
    </row>
    <row r="572" spans="1:7" x14ac:dyDescent="0.25">
      <c r="A572" t="s">
        <v>1217</v>
      </c>
      <c r="B572" t="s">
        <v>1218</v>
      </c>
      <c r="C572" t="s">
        <v>95</v>
      </c>
      <c r="D572" t="s">
        <v>94</v>
      </c>
      <c r="E572">
        <v>41.178646999999998</v>
      </c>
      <c r="F572">
        <v>27.502680999999999</v>
      </c>
      <c r="G572" t="str">
        <f t="shared" si="8"/>
        <v>41,178647 - 27,502681</v>
      </c>
    </row>
    <row r="573" spans="1:7" x14ac:dyDescent="0.25">
      <c r="A573" t="s">
        <v>1219</v>
      </c>
      <c r="B573" t="s">
        <v>1220</v>
      </c>
      <c r="C573" t="s">
        <v>720</v>
      </c>
      <c r="D573" t="s">
        <v>718</v>
      </c>
      <c r="E573">
        <v>37.809899000000001</v>
      </c>
      <c r="F573">
        <v>31.823788</v>
      </c>
      <c r="G573" t="str">
        <f t="shared" si="8"/>
        <v>37,809899 - 31,823788</v>
      </c>
    </row>
    <row r="574" spans="1:7" x14ac:dyDescent="0.25">
      <c r="A574" t="s">
        <v>1221</v>
      </c>
      <c r="B574" t="s">
        <v>1222</v>
      </c>
      <c r="C574" t="s">
        <v>1782</v>
      </c>
      <c r="D574" t="s">
        <v>209</v>
      </c>
      <c r="E574">
        <v>38.747824810399997</v>
      </c>
      <c r="F574">
        <v>41.507455627299997</v>
      </c>
      <c r="G574" t="str">
        <f t="shared" si="8"/>
        <v>38,7478248104 - 41,5074556273</v>
      </c>
    </row>
    <row r="575" spans="1:7" x14ac:dyDescent="0.25">
      <c r="A575" t="s">
        <v>1223</v>
      </c>
      <c r="B575" t="s">
        <v>1224</v>
      </c>
      <c r="C575" t="s">
        <v>2002</v>
      </c>
      <c r="D575" t="s">
        <v>1011</v>
      </c>
      <c r="E575">
        <v>40.188386999999999</v>
      </c>
      <c r="F575">
        <v>31.350809999999999</v>
      </c>
      <c r="G575" t="str">
        <f t="shared" si="8"/>
        <v>40,188387 - 31,35081</v>
      </c>
    </row>
    <row r="576" spans="1:7" x14ac:dyDescent="0.25">
      <c r="A576" t="s">
        <v>1225</v>
      </c>
      <c r="B576" t="s">
        <v>1226</v>
      </c>
      <c r="C576" t="s">
        <v>662</v>
      </c>
      <c r="D576" t="s">
        <v>660</v>
      </c>
      <c r="E576">
        <v>40.947119000000001</v>
      </c>
      <c r="F576">
        <v>27.443943999999998</v>
      </c>
      <c r="G576" t="str">
        <f t="shared" si="8"/>
        <v>40,947119 - 27,443944</v>
      </c>
    </row>
    <row r="577" spans="1:7" x14ac:dyDescent="0.25">
      <c r="A577" t="s">
        <v>1227</v>
      </c>
      <c r="B577" t="s">
        <v>1228</v>
      </c>
      <c r="C577" t="s">
        <v>1822</v>
      </c>
      <c r="D577" t="s">
        <v>294</v>
      </c>
      <c r="E577">
        <v>37.910566000000003</v>
      </c>
      <c r="F577">
        <v>28.322655000000001</v>
      </c>
      <c r="G577" t="str">
        <f t="shared" ref="G577:G640" si="9">CONCATENATE(E577," - ",F577)</f>
        <v>37,910566 - 28,322655</v>
      </c>
    </row>
    <row r="578" spans="1:7" x14ac:dyDescent="0.25">
      <c r="A578" t="s">
        <v>1229</v>
      </c>
      <c r="B578" t="s">
        <v>1230</v>
      </c>
      <c r="C578" t="s">
        <v>1781</v>
      </c>
      <c r="D578" t="s">
        <v>207</v>
      </c>
      <c r="E578">
        <v>38.589663000000002</v>
      </c>
      <c r="F578">
        <v>34.678972000000002</v>
      </c>
      <c r="G578" t="str">
        <f t="shared" si="9"/>
        <v>38,589663 - 34,678972</v>
      </c>
    </row>
    <row r="579" spans="1:7" x14ac:dyDescent="0.25">
      <c r="A579" t="s">
        <v>1231</v>
      </c>
      <c r="B579" t="s">
        <v>1232</v>
      </c>
      <c r="C579" t="s">
        <v>1779</v>
      </c>
      <c r="D579" t="s">
        <v>203</v>
      </c>
      <c r="E579">
        <v>37.957766999999997</v>
      </c>
      <c r="F579">
        <v>34.701523999999999</v>
      </c>
      <c r="G579" t="str">
        <f t="shared" si="9"/>
        <v>37,957767 - 34,701524</v>
      </c>
    </row>
    <row r="580" spans="1:7" x14ac:dyDescent="0.25">
      <c r="A580" t="s">
        <v>1233</v>
      </c>
      <c r="B580" t="s">
        <v>1234</v>
      </c>
      <c r="C580" t="s">
        <v>1985</v>
      </c>
      <c r="D580" t="s">
        <v>880</v>
      </c>
      <c r="E580">
        <v>40.590657</v>
      </c>
      <c r="F580">
        <v>36.942607000000002</v>
      </c>
      <c r="G580" t="str">
        <f t="shared" si="9"/>
        <v>40,590657 - 36,942607</v>
      </c>
    </row>
    <row r="581" spans="1:7" x14ac:dyDescent="0.25">
      <c r="A581" t="s">
        <v>1235</v>
      </c>
      <c r="B581" t="s">
        <v>1236</v>
      </c>
      <c r="C581" t="s">
        <v>2074</v>
      </c>
      <c r="D581" t="s">
        <v>1680</v>
      </c>
      <c r="E581">
        <v>36.9998</v>
      </c>
      <c r="F581">
        <v>37.801270000000002</v>
      </c>
      <c r="G581" t="str">
        <f t="shared" si="9"/>
        <v>36,9998 - 37,80127</v>
      </c>
    </row>
    <row r="582" spans="1:7" x14ac:dyDescent="0.25">
      <c r="A582" t="s">
        <v>1237</v>
      </c>
      <c r="B582" t="s">
        <v>1238</v>
      </c>
      <c r="C582" t="s">
        <v>2078</v>
      </c>
      <c r="D582" t="s">
        <v>1688</v>
      </c>
      <c r="E582">
        <v>37.443680000000001</v>
      </c>
      <c r="F582">
        <v>41.340780000000002</v>
      </c>
      <c r="G582" t="str">
        <f t="shared" si="9"/>
        <v>37,44368 - 41,34078</v>
      </c>
    </row>
    <row r="583" spans="1:7" x14ac:dyDescent="0.25">
      <c r="A583" t="s">
        <v>1239</v>
      </c>
      <c r="B583" t="s">
        <v>1240</v>
      </c>
      <c r="C583" t="s">
        <v>1677</v>
      </c>
      <c r="D583" t="s">
        <v>1675</v>
      </c>
      <c r="E583">
        <v>40.158214367844515</v>
      </c>
      <c r="F583">
        <v>34.364473252052761</v>
      </c>
      <c r="G583" t="str">
        <f t="shared" si="9"/>
        <v>40,1582143678445 - 34,3644732520528</v>
      </c>
    </row>
    <row r="584" spans="1:7" x14ac:dyDescent="0.25">
      <c r="A584" t="s">
        <v>1241</v>
      </c>
      <c r="B584" t="s">
        <v>1242</v>
      </c>
      <c r="C584" t="s">
        <v>1887</v>
      </c>
      <c r="D584" t="s">
        <v>438</v>
      </c>
      <c r="E584">
        <v>40.952289</v>
      </c>
      <c r="F584">
        <v>40.274918999999997</v>
      </c>
      <c r="G584" t="str">
        <f t="shared" si="9"/>
        <v>40,952289 - 40,274919</v>
      </c>
    </row>
    <row r="585" spans="1:7" x14ac:dyDescent="0.25">
      <c r="A585" t="s">
        <v>1243</v>
      </c>
      <c r="B585" t="s">
        <v>1244</v>
      </c>
      <c r="C585" t="s">
        <v>2007</v>
      </c>
      <c r="D585" t="s">
        <v>1024</v>
      </c>
      <c r="E585">
        <v>40.425159999999998</v>
      </c>
      <c r="F585">
        <v>29.906690000000001</v>
      </c>
      <c r="G585" t="str">
        <f t="shared" si="9"/>
        <v>40,42516 - 29,90669</v>
      </c>
    </row>
    <row r="586" spans="1:7" x14ac:dyDescent="0.25">
      <c r="A586" t="s">
        <v>1245</v>
      </c>
      <c r="B586" t="s">
        <v>1246</v>
      </c>
      <c r="C586" t="s">
        <v>1242</v>
      </c>
      <c r="D586" t="s">
        <v>1241</v>
      </c>
      <c r="E586">
        <v>37.780878000000001</v>
      </c>
      <c r="F586">
        <v>30.545135999999999</v>
      </c>
      <c r="G586" t="str">
        <f t="shared" si="9"/>
        <v>37,780878 - 30,545136</v>
      </c>
    </row>
    <row r="587" spans="1:7" x14ac:dyDescent="0.25">
      <c r="A587" t="s">
        <v>1247</v>
      </c>
      <c r="B587" t="s">
        <v>1248</v>
      </c>
      <c r="C587" t="s">
        <v>1338</v>
      </c>
      <c r="D587" t="s">
        <v>1337</v>
      </c>
      <c r="E587">
        <v>36.363807000000001</v>
      </c>
      <c r="F587">
        <v>30.303591999999998</v>
      </c>
      <c r="G587" t="str">
        <f t="shared" si="9"/>
        <v>36,363807 - 30,303592</v>
      </c>
    </row>
    <row r="588" spans="1:7" x14ac:dyDescent="0.25">
      <c r="A588" t="s">
        <v>1249</v>
      </c>
      <c r="B588" t="s">
        <v>1250</v>
      </c>
      <c r="C588" t="s">
        <v>991</v>
      </c>
      <c r="D588" t="s">
        <v>990</v>
      </c>
      <c r="E588">
        <v>40.979104</v>
      </c>
      <c r="F588">
        <v>34.001958999999999</v>
      </c>
      <c r="G588" t="str">
        <f t="shared" si="9"/>
        <v>40,979104 - 34,001959</v>
      </c>
    </row>
    <row r="589" spans="1:7" x14ac:dyDescent="0.25">
      <c r="A589" t="s">
        <v>1251</v>
      </c>
      <c r="B589" t="s">
        <v>1252</v>
      </c>
      <c r="C589" t="s">
        <v>1174</v>
      </c>
      <c r="D589" t="s">
        <v>1173</v>
      </c>
      <c r="E589">
        <v>40.399422000000001</v>
      </c>
      <c r="F589">
        <v>27.794895</v>
      </c>
      <c r="G589" t="str">
        <f t="shared" si="9"/>
        <v>40,399422 - 27,794895</v>
      </c>
    </row>
    <row r="590" spans="1:7" x14ac:dyDescent="0.25">
      <c r="A590" t="s">
        <v>1253</v>
      </c>
      <c r="B590" t="s">
        <v>1254</v>
      </c>
      <c r="C590" t="s">
        <v>1477</v>
      </c>
      <c r="D590" t="s">
        <v>1476</v>
      </c>
      <c r="E590">
        <v>38.489759999999997</v>
      </c>
      <c r="F590">
        <v>27.701070000000001</v>
      </c>
      <c r="G590" t="str">
        <f t="shared" si="9"/>
        <v>38,48976 - 27,70107</v>
      </c>
    </row>
    <row r="591" spans="1:7" x14ac:dyDescent="0.25">
      <c r="A591" t="s">
        <v>1255</v>
      </c>
      <c r="B591" t="s">
        <v>1256</v>
      </c>
      <c r="C591" t="s">
        <v>1778</v>
      </c>
      <c r="D591" t="s">
        <v>201</v>
      </c>
      <c r="E591">
        <v>40.959102630615234</v>
      </c>
      <c r="F591">
        <v>37.9036865234375</v>
      </c>
      <c r="G591" t="str">
        <f t="shared" si="9"/>
        <v>40,9591026306152 - 37,9036865234375</v>
      </c>
    </row>
    <row r="592" spans="1:7" x14ac:dyDescent="0.25">
      <c r="A592" t="s">
        <v>1257</v>
      </c>
      <c r="B592" t="s">
        <v>1258</v>
      </c>
      <c r="C592" t="s">
        <v>1172</v>
      </c>
      <c r="D592" t="s">
        <v>1171</v>
      </c>
      <c r="E592">
        <v>37.784649999999999</v>
      </c>
      <c r="F592">
        <v>29.091100000000001</v>
      </c>
      <c r="G592" t="str">
        <f t="shared" si="9"/>
        <v>37,78465 - 29,0911</v>
      </c>
    </row>
    <row r="593" spans="1:7" x14ac:dyDescent="0.25">
      <c r="A593" t="s">
        <v>1259</v>
      </c>
      <c r="B593" t="s">
        <v>1260</v>
      </c>
      <c r="C593" t="s">
        <v>1282</v>
      </c>
      <c r="D593" t="s">
        <v>1281</v>
      </c>
      <c r="E593">
        <v>41.196451000000003</v>
      </c>
      <c r="F593">
        <v>32.625377</v>
      </c>
      <c r="G593" t="str">
        <f t="shared" si="9"/>
        <v>41,196451 - 32,625377</v>
      </c>
    </row>
    <row r="594" spans="1:7" x14ac:dyDescent="0.25">
      <c r="A594" t="s">
        <v>1261</v>
      </c>
      <c r="B594" t="s">
        <v>1262</v>
      </c>
      <c r="C594" t="s">
        <v>1246</v>
      </c>
      <c r="D594" t="s">
        <v>1245</v>
      </c>
      <c r="E594">
        <v>37.780878000000001</v>
      </c>
      <c r="F594">
        <v>30.545135999999999</v>
      </c>
      <c r="G594" t="str">
        <f t="shared" si="9"/>
        <v>37,780878 - 30,545136</v>
      </c>
    </row>
    <row r="595" spans="1:7" x14ac:dyDescent="0.25">
      <c r="A595" t="s">
        <v>1263</v>
      </c>
      <c r="B595" t="s">
        <v>1264</v>
      </c>
      <c r="C595" t="s">
        <v>1820</v>
      </c>
      <c r="D595" t="s">
        <v>290</v>
      </c>
      <c r="E595">
        <v>40.487676999999998</v>
      </c>
      <c r="F595">
        <v>29.309768999999999</v>
      </c>
      <c r="G595" t="str">
        <f t="shared" si="9"/>
        <v>40,487677 - 29,309769</v>
      </c>
    </row>
    <row r="596" spans="1:7" x14ac:dyDescent="0.25">
      <c r="A596" t="s">
        <v>1265</v>
      </c>
      <c r="B596" t="s">
        <v>1266</v>
      </c>
      <c r="C596" t="s">
        <v>1819</v>
      </c>
      <c r="D596" t="s">
        <v>286</v>
      </c>
      <c r="E596">
        <v>36.838110999999998</v>
      </c>
      <c r="F596">
        <v>28.763805999999999</v>
      </c>
      <c r="G596" t="str">
        <f t="shared" si="9"/>
        <v>36,838111 - 28,763806</v>
      </c>
    </row>
    <row r="597" spans="1:7" x14ac:dyDescent="0.25">
      <c r="A597" t="s">
        <v>1267</v>
      </c>
      <c r="B597" t="s">
        <v>1268</v>
      </c>
      <c r="C597" t="s">
        <v>1990</v>
      </c>
      <c r="D597" t="s">
        <v>924</v>
      </c>
      <c r="E597">
        <v>38.734712000000002</v>
      </c>
      <c r="F597">
        <v>34.040107999999996</v>
      </c>
      <c r="G597" t="str">
        <f t="shared" si="9"/>
        <v>38,734712 - 34,040108</v>
      </c>
    </row>
    <row r="598" spans="1:7" x14ac:dyDescent="0.25">
      <c r="A598" t="s">
        <v>1269</v>
      </c>
      <c r="B598" t="s">
        <v>1270</v>
      </c>
      <c r="C598" t="s">
        <v>1888</v>
      </c>
      <c r="D598" t="s">
        <v>440</v>
      </c>
      <c r="E598">
        <v>40.971806999999998</v>
      </c>
      <c r="F598">
        <v>34.821389000000003</v>
      </c>
      <c r="G598" t="str">
        <f t="shared" si="9"/>
        <v>40,971807 - 34,821389</v>
      </c>
    </row>
    <row r="599" spans="1:7" x14ac:dyDescent="0.25">
      <c r="A599" t="s">
        <v>1271</v>
      </c>
      <c r="B599" t="s">
        <v>1272</v>
      </c>
      <c r="C599" t="s">
        <v>958</v>
      </c>
      <c r="D599" t="s">
        <v>956</v>
      </c>
      <c r="E599">
        <v>40.971806999999998</v>
      </c>
      <c r="F599">
        <v>34.821389000000003</v>
      </c>
      <c r="G599" t="str">
        <f t="shared" si="9"/>
        <v>40,971807 - 34,821389</v>
      </c>
    </row>
    <row r="600" spans="1:7" x14ac:dyDescent="0.25">
      <c r="A600" t="s">
        <v>1273</v>
      </c>
      <c r="B600" t="s">
        <v>1274</v>
      </c>
      <c r="C600" t="s">
        <v>1777</v>
      </c>
      <c r="D600" t="s">
        <v>199</v>
      </c>
      <c r="E600">
        <v>37.101431187000003</v>
      </c>
      <c r="F600">
        <v>36.244409005000001</v>
      </c>
      <c r="G600" t="str">
        <f t="shared" si="9"/>
        <v>37,101431187 - 36,244409005</v>
      </c>
    </row>
    <row r="601" spans="1:7" x14ac:dyDescent="0.25">
      <c r="A601" t="s">
        <v>1275</v>
      </c>
      <c r="B601" t="s">
        <v>1276</v>
      </c>
      <c r="C601" t="s">
        <v>1483</v>
      </c>
      <c r="D601" t="s">
        <v>1482</v>
      </c>
      <c r="E601">
        <v>40.253802</v>
      </c>
      <c r="F601">
        <v>27.343890999999999</v>
      </c>
      <c r="G601" t="str">
        <f t="shared" si="9"/>
        <v>40,253802 - 27,343891</v>
      </c>
    </row>
    <row r="602" spans="1:7" x14ac:dyDescent="0.25">
      <c r="A602" t="s">
        <v>1277</v>
      </c>
      <c r="B602" t="s">
        <v>1278</v>
      </c>
      <c r="C602" t="s">
        <v>1272</v>
      </c>
      <c r="D602" t="s">
        <v>1271</v>
      </c>
      <c r="E602">
        <v>41.196451000000003</v>
      </c>
      <c r="F602">
        <v>32.625377</v>
      </c>
      <c r="G602" t="str">
        <f t="shared" si="9"/>
        <v>41,196451 - 32,625377</v>
      </c>
    </row>
    <row r="603" spans="1:7" x14ac:dyDescent="0.25">
      <c r="A603" t="s">
        <v>1279</v>
      </c>
      <c r="B603" t="s">
        <v>1280</v>
      </c>
      <c r="C603" t="s">
        <v>1998</v>
      </c>
      <c r="D603" t="s">
        <v>1001</v>
      </c>
      <c r="E603">
        <v>38.216171000000003</v>
      </c>
      <c r="F603">
        <v>27.975930999999999</v>
      </c>
      <c r="G603" t="str">
        <f t="shared" si="9"/>
        <v>38,216171 - 27,975931</v>
      </c>
    </row>
    <row r="604" spans="1:7" x14ac:dyDescent="0.25">
      <c r="A604" t="s">
        <v>1281</v>
      </c>
      <c r="B604" t="s">
        <v>1282</v>
      </c>
      <c r="C604" t="s">
        <v>2043</v>
      </c>
      <c r="D604" t="s">
        <v>1459</v>
      </c>
      <c r="E604">
        <v>41.453181000000001</v>
      </c>
      <c r="F604">
        <v>31.776978</v>
      </c>
      <c r="G604" t="str">
        <f t="shared" si="9"/>
        <v>41,453181 - 31,776978</v>
      </c>
    </row>
    <row r="605" spans="1:7" x14ac:dyDescent="0.25">
      <c r="A605" t="s">
        <v>1283</v>
      </c>
      <c r="B605" t="s">
        <v>1284</v>
      </c>
      <c r="C605" t="s">
        <v>1232</v>
      </c>
      <c r="D605" t="s">
        <v>1231</v>
      </c>
      <c r="E605">
        <v>37.780878000000001</v>
      </c>
      <c r="F605">
        <v>30.545135999999999</v>
      </c>
      <c r="G605" t="str">
        <f t="shared" si="9"/>
        <v>37,780878 - 30,545136</v>
      </c>
    </row>
    <row r="606" spans="1:7" x14ac:dyDescent="0.25">
      <c r="A606" t="s">
        <v>1285</v>
      </c>
      <c r="B606" t="s">
        <v>1286</v>
      </c>
      <c r="C606" t="s">
        <v>2080</v>
      </c>
      <c r="D606" t="s">
        <v>1692</v>
      </c>
      <c r="E606">
        <v>37.404162999999997</v>
      </c>
      <c r="F606">
        <v>40.956108999999998</v>
      </c>
      <c r="G606" t="str">
        <f t="shared" si="9"/>
        <v>37,404163 - 40,956109</v>
      </c>
    </row>
    <row r="607" spans="1:7" x14ac:dyDescent="0.25">
      <c r="A607" t="s">
        <v>1287</v>
      </c>
      <c r="B607" t="s">
        <v>1288</v>
      </c>
      <c r="C607" t="s">
        <v>641</v>
      </c>
      <c r="D607" t="s">
        <v>639</v>
      </c>
      <c r="E607">
        <v>39.912789510000003</v>
      </c>
      <c r="F607">
        <v>30.016740779999999</v>
      </c>
      <c r="G607" t="str">
        <f t="shared" si="9"/>
        <v>39,91278951 - 30,01674078</v>
      </c>
    </row>
    <row r="608" spans="1:7" x14ac:dyDescent="0.25">
      <c r="A608" t="s">
        <v>1289</v>
      </c>
      <c r="B608" t="s">
        <v>1290</v>
      </c>
      <c r="C608" t="s">
        <v>1314</v>
      </c>
      <c r="D608" t="s">
        <v>1313</v>
      </c>
      <c r="E608">
        <v>39.170558</v>
      </c>
      <c r="F608">
        <v>34.149225000000001</v>
      </c>
      <c r="G608" t="str">
        <f t="shared" si="9"/>
        <v>39,170558 - 34,149225</v>
      </c>
    </row>
    <row r="609" spans="1:7" x14ac:dyDescent="0.25">
      <c r="A609" t="s">
        <v>1291</v>
      </c>
      <c r="B609" t="s">
        <v>1292</v>
      </c>
      <c r="C609" t="s">
        <v>1889</v>
      </c>
      <c r="D609" t="s">
        <v>442</v>
      </c>
      <c r="E609">
        <v>38.02317</v>
      </c>
      <c r="F609">
        <v>27.094729999999998</v>
      </c>
      <c r="G609" t="str">
        <f t="shared" si="9"/>
        <v>38,02317 - 27,09473</v>
      </c>
    </row>
    <row r="610" spans="1:7" x14ac:dyDescent="0.25">
      <c r="A610" t="s">
        <v>1293</v>
      </c>
      <c r="B610" t="s">
        <v>1294</v>
      </c>
      <c r="C610" t="s">
        <v>1154</v>
      </c>
      <c r="D610" t="s">
        <v>1153</v>
      </c>
      <c r="E610">
        <v>40.399422000000001</v>
      </c>
      <c r="F610">
        <v>27.794895</v>
      </c>
      <c r="G610" t="str">
        <f t="shared" si="9"/>
        <v>40,399422 - 27,794895</v>
      </c>
    </row>
    <row r="611" spans="1:7" x14ac:dyDescent="0.25">
      <c r="A611" t="s">
        <v>1295</v>
      </c>
      <c r="B611" t="s">
        <v>1296</v>
      </c>
      <c r="C611" t="s">
        <v>1640</v>
      </c>
      <c r="D611" t="s">
        <v>1638</v>
      </c>
      <c r="E611">
        <v>39.94075816946085</v>
      </c>
      <c r="F611">
        <v>33.882930162897793</v>
      </c>
      <c r="G611" t="str">
        <f t="shared" si="9"/>
        <v>39,9407581694608 - 33,8829301628978</v>
      </c>
    </row>
    <row r="612" spans="1:7" x14ac:dyDescent="0.25">
      <c r="A612" t="s">
        <v>1297</v>
      </c>
      <c r="B612" t="s">
        <v>1298</v>
      </c>
      <c r="C612" t="s">
        <v>2013</v>
      </c>
      <c r="D612" t="s">
        <v>1036</v>
      </c>
      <c r="E612">
        <v>40.505688999999997</v>
      </c>
      <c r="F612">
        <v>30.169250000000002</v>
      </c>
      <c r="G612" t="str">
        <f t="shared" si="9"/>
        <v>40,505689 - 30,16925</v>
      </c>
    </row>
    <row r="613" spans="1:7" x14ac:dyDescent="0.25">
      <c r="A613" t="s">
        <v>1299</v>
      </c>
      <c r="B613" t="s">
        <v>1300</v>
      </c>
      <c r="C613" t="s">
        <v>986</v>
      </c>
      <c r="D613" t="s">
        <v>984</v>
      </c>
      <c r="E613">
        <v>40.511057999999998</v>
      </c>
      <c r="F613">
        <v>30.218657</v>
      </c>
      <c r="G613" t="str">
        <f t="shared" si="9"/>
        <v>40,511058 - 30,218657</v>
      </c>
    </row>
    <row r="614" spans="1:7" x14ac:dyDescent="0.25">
      <c r="A614" t="s">
        <v>1301</v>
      </c>
      <c r="B614" t="s">
        <v>1302</v>
      </c>
      <c r="C614" t="s">
        <v>887</v>
      </c>
      <c r="D614" t="s">
        <v>886</v>
      </c>
      <c r="E614">
        <v>37.901646</v>
      </c>
      <c r="F614">
        <v>28.536617</v>
      </c>
      <c r="G614" t="str">
        <f t="shared" si="9"/>
        <v>37,901646 - 28,536617</v>
      </c>
    </row>
    <row r="615" spans="1:7" x14ac:dyDescent="0.25">
      <c r="A615" t="s">
        <v>1303</v>
      </c>
      <c r="B615" t="s">
        <v>1304</v>
      </c>
      <c r="C615" t="s">
        <v>1560</v>
      </c>
      <c r="D615" t="s">
        <v>1558</v>
      </c>
      <c r="E615">
        <v>37.100747223525246</v>
      </c>
      <c r="F615">
        <v>38.187670222830278</v>
      </c>
      <c r="G615" t="str">
        <f t="shared" si="9"/>
        <v>37,1007472235252 - 38,1876702228303</v>
      </c>
    </row>
    <row r="616" spans="1:7" x14ac:dyDescent="0.25">
      <c r="A616" t="s">
        <v>1305</v>
      </c>
      <c r="B616" t="s">
        <v>1306</v>
      </c>
      <c r="C616" t="s">
        <v>889</v>
      </c>
      <c r="D616" t="s">
        <v>888</v>
      </c>
      <c r="E616">
        <v>39.977336000000001</v>
      </c>
      <c r="F616">
        <v>41.674368999999999</v>
      </c>
      <c r="G616" t="str">
        <f t="shared" si="9"/>
        <v>39,977336 - 41,674369</v>
      </c>
    </row>
    <row r="617" spans="1:7" x14ac:dyDescent="0.25">
      <c r="A617" t="s">
        <v>1307</v>
      </c>
      <c r="B617" t="s">
        <v>1308</v>
      </c>
      <c r="C617" t="s">
        <v>1817</v>
      </c>
      <c r="D617" t="s">
        <v>282</v>
      </c>
      <c r="E617">
        <v>39.239584999999998</v>
      </c>
      <c r="F617">
        <v>42.833815999999999</v>
      </c>
      <c r="G617" t="str">
        <f t="shared" si="9"/>
        <v>39,239585 - 42,833816</v>
      </c>
    </row>
    <row r="618" spans="1:7" x14ac:dyDescent="0.25">
      <c r="A618" t="s">
        <v>1309</v>
      </c>
      <c r="B618" t="s">
        <v>1310</v>
      </c>
      <c r="C618" t="s">
        <v>1967</v>
      </c>
      <c r="D618" t="s">
        <v>771</v>
      </c>
      <c r="E618">
        <v>36.750410000000002</v>
      </c>
      <c r="F618">
        <v>36.215240000000001</v>
      </c>
      <c r="G618" t="str">
        <f t="shared" si="9"/>
        <v>36,75041 - 36,21524</v>
      </c>
    </row>
    <row r="619" spans="1:7" x14ac:dyDescent="0.25">
      <c r="A619" t="s">
        <v>1311</v>
      </c>
      <c r="B619" t="s">
        <v>1312</v>
      </c>
      <c r="C619" t="s">
        <v>1890</v>
      </c>
      <c r="D619" t="s">
        <v>444</v>
      </c>
      <c r="E619">
        <v>41.180011</v>
      </c>
      <c r="F619">
        <v>40.893129999999999</v>
      </c>
      <c r="G619" t="str">
        <f t="shared" si="9"/>
        <v>41,180011 - 40,89313</v>
      </c>
    </row>
    <row r="620" spans="1:7" x14ac:dyDescent="0.25">
      <c r="A620" t="s">
        <v>1313</v>
      </c>
      <c r="B620" t="s">
        <v>1314</v>
      </c>
      <c r="C620" t="s">
        <v>1891</v>
      </c>
      <c r="D620" t="s">
        <v>446</v>
      </c>
      <c r="E620">
        <v>41.017856000000002</v>
      </c>
      <c r="F620">
        <v>37.842236</v>
      </c>
      <c r="G620" t="str">
        <f t="shared" si="9"/>
        <v>41,017856 - 37,842236</v>
      </c>
    </row>
    <row r="621" spans="1:7" x14ac:dyDescent="0.25">
      <c r="A621" t="s">
        <v>1315</v>
      </c>
      <c r="B621" t="s">
        <v>1316</v>
      </c>
      <c r="C621" t="s">
        <v>1326</v>
      </c>
      <c r="D621" t="s">
        <v>1325</v>
      </c>
      <c r="E621">
        <v>39.170558</v>
      </c>
      <c r="F621">
        <v>34.149225000000001</v>
      </c>
      <c r="G621" t="str">
        <f t="shared" si="9"/>
        <v>39,170558 - 34,149225</v>
      </c>
    </row>
    <row r="622" spans="1:7" x14ac:dyDescent="0.25">
      <c r="A622" t="s">
        <v>1317</v>
      </c>
      <c r="B622" t="s">
        <v>1318</v>
      </c>
      <c r="C622" t="s">
        <v>929</v>
      </c>
      <c r="D622" t="s">
        <v>928</v>
      </c>
      <c r="E622">
        <v>38.723249000000003</v>
      </c>
      <c r="F622">
        <v>36.390462999999997</v>
      </c>
      <c r="G622" t="str">
        <f t="shared" si="9"/>
        <v>38,723249 - 36,390463</v>
      </c>
    </row>
    <row r="623" spans="1:7" x14ac:dyDescent="0.25">
      <c r="A623" t="s">
        <v>1319</v>
      </c>
      <c r="B623" t="s">
        <v>1320</v>
      </c>
      <c r="C623" t="s">
        <v>891</v>
      </c>
      <c r="D623" t="s">
        <v>890</v>
      </c>
      <c r="E623">
        <v>37.453029200000003</v>
      </c>
      <c r="F623">
        <v>27.507854999999999</v>
      </c>
      <c r="G623" t="str">
        <f t="shared" si="9"/>
        <v>37,4530292 - 27,507855</v>
      </c>
    </row>
    <row r="624" spans="1:7" x14ac:dyDescent="0.25">
      <c r="A624" t="s">
        <v>1321</v>
      </c>
      <c r="B624" t="s">
        <v>1322</v>
      </c>
      <c r="C624" t="s">
        <v>1521</v>
      </c>
      <c r="D624" t="s">
        <v>1520</v>
      </c>
      <c r="E624">
        <v>37.850279058290425</v>
      </c>
      <c r="F624">
        <v>34.949162490767108</v>
      </c>
      <c r="G624" t="str">
        <f t="shared" si="9"/>
        <v>37,8502790582904 - 34,9491624907671</v>
      </c>
    </row>
    <row r="625" spans="1:7" x14ac:dyDescent="0.25">
      <c r="A625" t="s">
        <v>1323</v>
      </c>
      <c r="B625" t="s">
        <v>1324</v>
      </c>
      <c r="C625" t="s">
        <v>1200</v>
      </c>
      <c r="D625" t="s">
        <v>1199</v>
      </c>
      <c r="E625">
        <v>40.399422000000001</v>
      </c>
      <c r="F625">
        <v>27.794895</v>
      </c>
      <c r="G625" t="str">
        <f t="shared" si="9"/>
        <v>40,399422 - 27,794895</v>
      </c>
    </row>
    <row r="626" spans="1:7" x14ac:dyDescent="0.25">
      <c r="A626" t="s">
        <v>1325</v>
      </c>
      <c r="B626" t="s">
        <v>1326</v>
      </c>
      <c r="C626" t="s">
        <v>1146</v>
      </c>
      <c r="D626" t="s">
        <v>1145</v>
      </c>
      <c r="E626">
        <v>37.784649999999999</v>
      </c>
      <c r="F626">
        <v>29.091100000000001</v>
      </c>
      <c r="G626" t="str">
        <f t="shared" si="9"/>
        <v>37,78465 - 29,0911</v>
      </c>
    </row>
    <row r="627" spans="1:7" x14ac:dyDescent="0.25">
      <c r="A627" t="s">
        <v>1327</v>
      </c>
      <c r="B627" t="s">
        <v>1328</v>
      </c>
      <c r="C627" t="s">
        <v>1991</v>
      </c>
      <c r="D627" t="s">
        <v>930</v>
      </c>
      <c r="E627">
        <v>40.952663999999999</v>
      </c>
      <c r="F627">
        <v>38.125134000000003</v>
      </c>
      <c r="G627" t="str">
        <f t="shared" si="9"/>
        <v>40,952664 - 38,125134</v>
      </c>
    </row>
    <row r="628" spans="1:7" x14ac:dyDescent="0.25">
      <c r="A628" t="s">
        <v>1329</v>
      </c>
      <c r="B628" t="s">
        <v>1330</v>
      </c>
      <c r="C628" t="s">
        <v>1815</v>
      </c>
      <c r="D628" t="s">
        <v>278</v>
      </c>
      <c r="E628">
        <v>39.575659000000002</v>
      </c>
      <c r="F628">
        <v>32.142543000000003</v>
      </c>
      <c r="G628" t="str">
        <f t="shared" si="9"/>
        <v>39,575659 - 32,142543</v>
      </c>
    </row>
    <row r="629" spans="1:7" x14ac:dyDescent="0.25">
      <c r="A629" t="s">
        <v>1331</v>
      </c>
      <c r="B629" t="s">
        <v>1332</v>
      </c>
      <c r="C629" t="s">
        <v>1584</v>
      </c>
      <c r="D629" t="s">
        <v>1583</v>
      </c>
      <c r="E629">
        <v>38.076129999999999</v>
      </c>
      <c r="F629">
        <v>26.923749999999998</v>
      </c>
      <c r="G629" t="str">
        <f t="shared" si="9"/>
        <v>38,07613 - 26,92375</v>
      </c>
    </row>
    <row r="630" spans="1:7" x14ac:dyDescent="0.25">
      <c r="A630" t="s">
        <v>1333</v>
      </c>
      <c r="B630" t="s">
        <v>1334</v>
      </c>
      <c r="C630" t="s">
        <v>1473</v>
      </c>
      <c r="D630" t="s">
        <v>1472</v>
      </c>
      <c r="E630">
        <v>40.036726999999999</v>
      </c>
      <c r="F630">
        <v>32.904774000000003</v>
      </c>
      <c r="G630" t="str">
        <f t="shared" si="9"/>
        <v>40,036727 - 32,904774</v>
      </c>
    </row>
    <row r="631" spans="1:7" x14ac:dyDescent="0.25">
      <c r="A631" t="s">
        <v>1335</v>
      </c>
      <c r="B631" t="s">
        <v>1336</v>
      </c>
      <c r="C631" t="s">
        <v>1986</v>
      </c>
      <c r="D631" t="s">
        <v>892</v>
      </c>
      <c r="E631">
        <v>39.909571999999997</v>
      </c>
      <c r="F631">
        <v>38.770532000000003</v>
      </c>
      <c r="G631" t="str">
        <f t="shared" si="9"/>
        <v>39,909572 - 38,770532</v>
      </c>
    </row>
    <row r="632" spans="1:7" x14ac:dyDescent="0.25">
      <c r="A632" t="s">
        <v>1337</v>
      </c>
      <c r="B632" t="s">
        <v>1338</v>
      </c>
      <c r="C632" t="s">
        <v>1769</v>
      </c>
      <c r="D632" t="s">
        <v>183</v>
      </c>
      <c r="E632">
        <v>41.032255999999997</v>
      </c>
      <c r="F632">
        <v>40.511420000000001</v>
      </c>
      <c r="G632" t="str">
        <f t="shared" si="9"/>
        <v>41,032256 - 40,51142</v>
      </c>
    </row>
    <row r="633" spans="1:7" x14ac:dyDescent="0.25">
      <c r="A633" t="s">
        <v>1339</v>
      </c>
      <c r="B633" t="s">
        <v>1340</v>
      </c>
      <c r="C633" t="s">
        <v>1248</v>
      </c>
      <c r="D633" t="s">
        <v>1247</v>
      </c>
      <c r="E633">
        <v>37.780878000000001</v>
      </c>
      <c r="F633">
        <v>30.545135999999999</v>
      </c>
      <c r="G633" t="str">
        <f t="shared" si="9"/>
        <v>37,780878 - 30,545136</v>
      </c>
    </row>
    <row r="634" spans="1:7" x14ac:dyDescent="0.25">
      <c r="A634" t="s">
        <v>1341</v>
      </c>
      <c r="B634" t="s">
        <v>1342</v>
      </c>
      <c r="C634" t="s">
        <v>1619</v>
      </c>
      <c r="D634" t="s">
        <v>1618</v>
      </c>
      <c r="E634">
        <v>39.728346000000002</v>
      </c>
      <c r="F634">
        <v>36.966977999999997</v>
      </c>
      <c r="G634" t="str">
        <f t="shared" si="9"/>
        <v>39,728346 - 36,966978</v>
      </c>
    </row>
    <row r="635" spans="1:7" x14ac:dyDescent="0.25">
      <c r="A635" t="s">
        <v>1343</v>
      </c>
      <c r="B635" t="s">
        <v>1344</v>
      </c>
      <c r="C635" t="s">
        <v>1755</v>
      </c>
      <c r="D635" t="s">
        <v>153</v>
      </c>
      <c r="E635">
        <v>41.238978000000003</v>
      </c>
      <c r="F635">
        <v>32.675168999999997</v>
      </c>
      <c r="G635" t="str">
        <f t="shared" si="9"/>
        <v>41,238978 - 32,675169</v>
      </c>
    </row>
    <row r="636" spans="1:7" x14ac:dyDescent="0.25">
      <c r="A636" t="s">
        <v>1345</v>
      </c>
      <c r="B636" t="s">
        <v>1346</v>
      </c>
      <c r="C636" t="s">
        <v>1715</v>
      </c>
      <c r="D636" t="s">
        <v>11</v>
      </c>
      <c r="E636">
        <v>40.729880999999999</v>
      </c>
      <c r="F636">
        <v>30.379868999999999</v>
      </c>
      <c r="G636" t="str">
        <f t="shared" si="9"/>
        <v>40,729881 - 30,379869</v>
      </c>
    </row>
    <row r="637" spans="1:7" x14ac:dyDescent="0.25">
      <c r="A637" t="s">
        <v>1347</v>
      </c>
      <c r="B637" t="s">
        <v>1348</v>
      </c>
      <c r="C637" t="s">
        <v>1892</v>
      </c>
      <c r="D637" t="s">
        <v>448</v>
      </c>
      <c r="E637">
        <v>39.166556</v>
      </c>
      <c r="F637">
        <v>26.840135</v>
      </c>
      <c r="G637" t="str">
        <f t="shared" si="9"/>
        <v>39,166556 - 26,840135</v>
      </c>
    </row>
    <row r="638" spans="1:7" x14ac:dyDescent="0.25">
      <c r="A638" t="s">
        <v>1349</v>
      </c>
      <c r="B638" t="s">
        <v>1350</v>
      </c>
      <c r="C638" t="s">
        <v>1811</v>
      </c>
      <c r="D638" t="s">
        <v>271</v>
      </c>
      <c r="E638">
        <v>38.487222000000003</v>
      </c>
      <c r="F638">
        <v>28.135321000000001</v>
      </c>
      <c r="G638" t="str">
        <f t="shared" si="9"/>
        <v>38,487222 - 28,135321</v>
      </c>
    </row>
    <row r="639" spans="1:7" x14ac:dyDescent="0.25">
      <c r="A639" t="s">
        <v>1351</v>
      </c>
      <c r="B639" t="s">
        <v>1352</v>
      </c>
      <c r="C639" t="s">
        <v>1768</v>
      </c>
      <c r="D639" t="s">
        <v>181</v>
      </c>
      <c r="E639">
        <v>41.287336000000003</v>
      </c>
      <c r="F639">
        <v>36.289172000000001</v>
      </c>
      <c r="G639" t="str">
        <f t="shared" si="9"/>
        <v>41,287336 - 36,289172</v>
      </c>
    </row>
    <row r="640" spans="1:7" x14ac:dyDescent="0.25">
      <c r="A640" t="s">
        <v>1353</v>
      </c>
      <c r="B640" t="s">
        <v>1354</v>
      </c>
      <c r="C640" t="s">
        <v>1404</v>
      </c>
      <c r="D640" t="s">
        <v>1403</v>
      </c>
      <c r="E640">
        <v>38.513674999999999</v>
      </c>
      <c r="F640">
        <v>43.377628000000001</v>
      </c>
      <c r="G640" t="str">
        <f t="shared" si="9"/>
        <v>38,513675 - 43,377628</v>
      </c>
    </row>
    <row r="641" spans="1:7" x14ac:dyDescent="0.25">
      <c r="A641" t="s">
        <v>1355</v>
      </c>
      <c r="B641" t="s">
        <v>1356</v>
      </c>
      <c r="C641" t="s">
        <v>1072</v>
      </c>
      <c r="D641" t="s">
        <v>1071</v>
      </c>
      <c r="E641">
        <v>38.358341000000003</v>
      </c>
      <c r="F641">
        <v>33.983652999999997</v>
      </c>
      <c r="G641" t="str">
        <f t="shared" ref="G641:G704" si="10">CONCATENATE(E641," - ",F641)</f>
        <v>38,358341 - 33,983653</v>
      </c>
    </row>
    <row r="642" spans="1:7" x14ac:dyDescent="0.25">
      <c r="A642" t="s">
        <v>1357</v>
      </c>
      <c r="B642" t="s">
        <v>1358</v>
      </c>
      <c r="C642" t="s">
        <v>1723</v>
      </c>
      <c r="D642" t="s">
        <v>53</v>
      </c>
      <c r="E642">
        <v>38.446480000000001</v>
      </c>
      <c r="F642">
        <v>30.260618000000001</v>
      </c>
      <c r="G642" t="str">
        <f t="shared" si="10"/>
        <v>38,44648 - 30,260618</v>
      </c>
    </row>
    <row r="643" spans="1:7" x14ac:dyDescent="0.25">
      <c r="A643" t="s">
        <v>1359</v>
      </c>
      <c r="B643" t="s">
        <v>1360</v>
      </c>
      <c r="C643" t="s">
        <v>1997</v>
      </c>
      <c r="D643" t="s">
        <v>999</v>
      </c>
      <c r="E643">
        <v>40.692602999999998</v>
      </c>
      <c r="F643">
        <v>30.268545</v>
      </c>
      <c r="G643" t="str">
        <f t="shared" si="10"/>
        <v>40,692603 - 30,268545</v>
      </c>
    </row>
    <row r="644" spans="1:7" x14ac:dyDescent="0.25">
      <c r="A644" t="s">
        <v>1361</v>
      </c>
      <c r="B644" t="s">
        <v>1362</v>
      </c>
      <c r="C644" t="s">
        <v>1737</v>
      </c>
      <c r="D644" t="s">
        <v>98</v>
      </c>
      <c r="E644">
        <v>41.440770000000001</v>
      </c>
      <c r="F644">
        <v>27.92183</v>
      </c>
      <c r="G644" t="str">
        <f t="shared" si="10"/>
        <v>41,44077 - 27,92183</v>
      </c>
    </row>
    <row r="645" spans="1:7" x14ac:dyDescent="0.25">
      <c r="A645" t="s">
        <v>1363</v>
      </c>
      <c r="B645" t="s">
        <v>1364</v>
      </c>
      <c r="C645" t="s">
        <v>1893</v>
      </c>
      <c r="D645" t="s">
        <v>450</v>
      </c>
      <c r="E645">
        <v>37.924899000000003</v>
      </c>
      <c r="F645">
        <v>28.927849999999999</v>
      </c>
      <c r="G645" t="str">
        <f t="shared" si="10"/>
        <v>37,924899 - 28,92785</v>
      </c>
    </row>
    <row r="646" spans="1:7" x14ac:dyDescent="0.25">
      <c r="A646" t="s">
        <v>1365</v>
      </c>
      <c r="B646" t="s">
        <v>1366</v>
      </c>
      <c r="C646" t="s">
        <v>1987</v>
      </c>
      <c r="D646" t="s">
        <v>897</v>
      </c>
      <c r="E646">
        <v>38.240105999999997</v>
      </c>
      <c r="F646">
        <v>28.692620000000002</v>
      </c>
      <c r="G646" t="str">
        <f t="shared" si="10"/>
        <v>38,240106 - 28,69262</v>
      </c>
    </row>
    <row r="647" spans="1:7" x14ac:dyDescent="0.25">
      <c r="A647" t="s">
        <v>1367</v>
      </c>
      <c r="B647" t="s">
        <v>1368</v>
      </c>
      <c r="C647" t="s">
        <v>2061</v>
      </c>
      <c r="D647" t="s">
        <v>1624</v>
      </c>
      <c r="E647">
        <v>39.517809999999997</v>
      </c>
      <c r="F647">
        <v>35.350158999999998</v>
      </c>
      <c r="G647" t="str">
        <f t="shared" si="10"/>
        <v>39,51781 - 35,350159</v>
      </c>
    </row>
    <row r="648" spans="1:7" x14ac:dyDescent="0.25">
      <c r="A648" t="s">
        <v>1369</v>
      </c>
      <c r="B648" t="s">
        <v>1370</v>
      </c>
      <c r="C648" t="s">
        <v>900</v>
      </c>
      <c r="D648" t="s">
        <v>899</v>
      </c>
      <c r="E648">
        <v>37.563844000000003</v>
      </c>
      <c r="F648">
        <v>27.354444000000001</v>
      </c>
      <c r="G648" t="str">
        <f t="shared" si="10"/>
        <v>37,563844 - 27,354444</v>
      </c>
    </row>
    <row r="649" spans="1:7" x14ac:dyDescent="0.25">
      <c r="A649" t="s">
        <v>1371</v>
      </c>
      <c r="B649" t="s">
        <v>1372</v>
      </c>
      <c r="C649" t="s">
        <v>1894</v>
      </c>
      <c r="D649" t="s">
        <v>452</v>
      </c>
      <c r="E649">
        <v>39.273119999999999</v>
      </c>
      <c r="F649">
        <v>26.667424</v>
      </c>
      <c r="G649" t="str">
        <f t="shared" si="10"/>
        <v>39,27312 - 26,667424</v>
      </c>
    </row>
    <row r="650" spans="1:7" x14ac:dyDescent="0.25">
      <c r="A650" t="s">
        <v>1373</v>
      </c>
      <c r="B650" t="s">
        <v>1374</v>
      </c>
      <c r="C650" t="s">
        <v>82</v>
      </c>
      <c r="D650" t="s">
        <v>81</v>
      </c>
      <c r="E650">
        <v>40.615011000000003</v>
      </c>
      <c r="F650">
        <v>27.110768</v>
      </c>
      <c r="G650" t="str">
        <f t="shared" si="10"/>
        <v>40,615011 - 27,110768</v>
      </c>
    </row>
    <row r="651" spans="1:7" x14ac:dyDescent="0.25">
      <c r="A651" t="s">
        <v>1375</v>
      </c>
      <c r="B651" t="s">
        <v>1376</v>
      </c>
      <c r="C651" t="s">
        <v>1252</v>
      </c>
      <c r="D651" t="s">
        <v>1251</v>
      </c>
      <c r="E651">
        <v>37.780878000000001</v>
      </c>
      <c r="F651">
        <v>30.545135999999999</v>
      </c>
      <c r="G651" t="str">
        <f t="shared" si="10"/>
        <v>37,780878 - 30,545136</v>
      </c>
    </row>
    <row r="652" spans="1:7" x14ac:dyDescent="0.25">
      <c r="A652" t="s">
        <v>1377</v>
      </c>
      <c r="B652" t="s">
        <v>1378</v>
      </c>
      <c r="C652" t="s">
        <v>1897</v>
      </c>
      <c r="D652" t="s">
        <v>458</v>
      </c>
      <c r="E652">
        <v>38.188611000000002</v>
      </c>
      <c r="F652">
        <v>26.83747</v>
      </c>
      <c r="G652" t="str">
        <f t="shared" si="10"/>
        <v>38,188611 - 26,83747</v>
      </c>
    </row>
    <row r="653" spans="1:7" x14ac:dyDescent="0.25">
      <c r="A653" t="s">
        <v>1379</v>
      </c>
      <c r="B653" t="s">
        <v>1380</v>
      </c>
      <c r="C653" t="s">
        <v>2067</v>
      </c>
      <c r="D653" t="s">
        <v>1636</v>
      </c>
      <c r="E653">
        <v>39.710641844549414</v>
      </c>
      <c r="F653">
        <v>34.34809308468575</v>
      </c>
      <c r="G653" t="str">
        <f t="shared" si="10"/>
        <v>39,7106418445494 - 34,3480930846858</v>
      </c>
    </row>
    <row r="654" spans="1:7" x14ac:dyDescent="0.25">
      <c r="A654" t="s">
        <v>1381</v>
      </c>
      <c r="B654" t="s">
        <v>1382</v>
      </c>
      <c r="C654" t="s">
        <v>1898</v>
      </c>
      <c r="D654" t="s">
        <v>460</v>
      </c>
      <c r="E654">
        <v>37.948355999999997</v>
      </c>
      <c r="F654">
        <v>27.369508</v>
      </c>
      <c r="G654" t="str">
        <f t="shared" si="10"/>
        <v>37,948356 - 27,369508</v>
      </c>
    </row>
    <row r="655" spans="1:7" x14ac:dyDescent="0.25">
      <c r="A655" t="s">
        <v>1383</v>
      </c>
      <c r="B655" t="s">
        <v>1384</v>
      </c>
      <c r="C655" t="s">
        <v>923</v>
      </c>
      <c r="D655" t="s">
        <v>922</v>
      </c>
      <c r="E655">
        <v>36.704363000000001</v>
      </c>
      <c r="F655">
        <v>28.098392</v>
      </c>
      <c r="G655" t="str">
        <f t="shared" si="10"/>
        <v>36,704363 - 28,098392</v>
      </c>
    </row>
    <row r="656" spans="1:7" x14ac:dyDescent="0.25">
      <c r="A656" t="s">
        <v>1385</v>
      </c>
      <c r="B656" t="s">
        <v>1386</v>
      </c>
      <c r="C656" t="s">
        <v>1902</v>
      </c>
      <c r="D656" t="s">
        <v>468</v>
      </c>
      <c r="E656">
        <v>38.109144999999998</v>
      </c>
      <c r="F656">
        <v>30.552237999999999</v>
      </c>
      <c r="G656" t="str">
        <f t="shared" si="10"/>
        <v>38,109145 - 30,552238</v>
      </c>
    </row>
    <row r="657" spans="1:7" x14ac:dyDescent="0.25">
      <c r="A657" t="s">
        <v>1387</v>
      </c>
      <c r="B657" t="s">
        <v>1388</v>
      </c>
      <c r="C657" t="s">
        <v>1726</v>
      </c>
      <c r="D657" t="s">
        <v>61</v>
      </c>
      <c r="E657">
        <v>36.912548999999999</v>
      </c>
      <c r="F657">
        <v>31.084130999999999</v>
      </c>
      <c r="G657" t="str">
        <f t="shared" si="10"/>
        <v>36,912549 - 31,084131</v>
      </c>
    </row>
    <row r="658" spans="1:7" x14ac:dyDescent="0.25">
      <c r="A658" t="s">
        <v>1389</v>
      </c>
      <c r="B658" t="s">
        <v>1390</v>
      </c>
      <c r="C658" t="s">
        <v>904</v>
      </c>
      <c r="D658" t="s">
        <v>903</v>
      </c>
      <c r="E658">
        <v>37.582911000000003</v>
      </c>
      <c r="F658">
        <v>29.270195999999999</v>
      </c>
      <c r="G658" t="str">
        <f t="shared" si="10"/>
        <v>37,582911 - 29,270196</v>
      </c>
    </row>
    <row r="659" spans="1:7" x14ac:dyDescent="0.25">
      <c r="A659" t="s">
        <v>1391</v>
      </c>
      <c r="B659" t="s">
        <v>1392</v>
      </c>
      <c r="C659" t="s">
        <v>711</v>
      </c>
      <c r="D659" t="s">
        <v>709</v>
      </c>
      <c r="E659">
        <v>37.437787</v>
      </c>
      <c r="F659">
        <v>34.876779999999997</v>
      </c>
      <c r="G659" t="str">
        <f t="shared" si="10"/>
        <v>37,437787 - 34,87678</v>
      </c>
    </row>
    <row r="660" spans="1:7" x14ac:dyDescent="0.25">
      <c r="A660" t="s">
        <v>1393</v>
      </c>
      <c r="B660" t="s">
        <v>1394</v>
      </c>
      <c r="C660" t="s">
        <v>1988</v>
      </c>
      <c r="D660" t="s">
        <v>905</v>
      </c>
      <c r="E660">
        <v>37.431544000000002</v>
      </c>
      <c r="F660">
        <v>31.851972</v>
      </c>
      <c r="G660" t="str">
        <f t="shared" si="10"/>
        <v>37,431544 - 31,851972</v>
      </c>
    </row>
    <row r="661" spans="1:7" x14ac:dyDescent="0.25">
      <c r="A661" t="s">
        <v>1395</v>
      </c>
      <c r="B661" t="s">
        <v>1396</v>
      </c>
      <c r="C661" t="s">
        <v>1188</v>
      </c>
      <c r="D661" t="s">
        <v>1187</v>
      </c>
      <c r="E661">
        <v>39.775838</v>
      </c>
      <c r="F661">
        <v>30.553260000000002</v>
      </c>
      <c r="G661" t="str">
        <f t="shared" si="10"/>
        <v>39,775838 - 30,55326</v>
      </c>
    </row>
    <row r="662" spans="1:7" x14ac:dyDescent="0.25">
      <c r="A662" t="s">
        <v>1397</v>
      </c>
      <c r="B662" t="s">
        <v>1398</v>
      </c>
      <c r="C662" t="s">
        <v>756</v>
      </c>
      <c r="D662" t="s">
        <v>754</v>
      </c>
      <c r="E662">
        <v>39.445889999999999</v>
      </c>
      <c r="F662">
        <v>30.693649000000001</v>
      </c>
      <c r="G662" t="str">
        <f t="shared" si="10"/>
        <v>39,44589 - 30,693649</v>
      </c>
    </row>
    <row r="663" spans="1:7" x14ac:dyDescent="0.25">
      <c r="A663" t="s">
        <v>1399</v>
      </c>
      <c r="B663" t="s">
        <v>1400</v>
      </c>
      <c r="C663" t="s">
        <v>1586</v>
      </c>
      <c r="D663" t="s">
        <v>1585</v>
      </c>
      <c r="E663">
        <v>38.07338</v>
      </c>
      <c r="F663">
        <v>26.921759999999999</v>
      </c>
      <c r="G663" t="str">
        <f t="shared" si="10"/>
        <v>38,07338 - 26,92176</v>
      </c>
    </row>
    <row r="664" spans="1:7" x14ac:dyDescent="0.25">
      <c r="A664" t="s">
        <v>1401</v>
      </c>
      <c r="B664" t="s">
        <v>1402</v>
      </c>
      <c r="C664" t="s">
        <v>1652</v>
      </c>
      <c r="D664" t="s">
        <v>1651</v>
      </c>
      <c r="E664">
        <v>38.450229999999998</v>
      </c>
      <c r="F664">
        <v>27.489979999999999</v>
      </c>
      <c r="G664" t="str">
        <f t="shared" si="10"/>
        <v>38,45023 - 27,48998</v>
      </c>
    </row>
    <row r="665" spans="1:7" x14ac:dyDescent="0.25">
      <c r="A665" t="s">
        <v>1403</v>
      </c>
      <c r="B665" t="s">
        <v>1404</v>
      </c>
      <c r="C665" t="s">
        <v>1654</v>
      </c>
      <c r="D665" t="s">
        <v>1653</v>
      </c>
      <c r="E665">
        <v>40.388710000000003</v>
      </c>
      <c r="F665">
        <v>29.139199999999999</v>
      </c>
      <c r="G665" t="str">
        <f t="shared" si="10"/>
        <v>40,38871 - 29,1392</v>
      </c>
    </row>
    <row r="666" spans="1:7" x14ac:dyDescent="0.25">
      <c r="A666" t="s">
        <v>1405</v>
      </c>
      <c r="B666" t="s">
        <v>1406</v>
      </c>
      <c r="C666" t="s">
        <v>1647</v>
      </c>
      <c r="D666" t="s">
        <v>1646</v>
      </c>
      <c r="E666">
        <v>40.727409999999999</v>
      </c>
      <c r="F666">
        <v>30.068629999999999</v>
      </c>
      <c r="G666" t="str">
        <f t="shared" si="10"/>
        <v>40,72741 - 30,06863</v>
      </c>
    </row>
    <row r="667" spans="1:7" x14ac:dyDescent="0.25">
      <c r="A667" t="s">
        <v>1407</v>
      </c>
      <c r="B667" t="s">
        <v>1408</v>
      </c>
      <c r="C667" t="s">
        <v>2048</v>
      </c>
      <c r="D667" t="s">
        <v>1538</v>
      </c>
      <c r="E667">
        <v>37.922104839220552</v>
      </c>
      <c r="F667">
        <v>41.915540099143989</v>
      </c>
      <c r="G667" t="str">
        <f t="shared" si="10"/>
        <v>37,9221048392206 - 41,915540099144</v>
      </c>
    </row>
    <row r="668" spans="1:7" x14ac:dyDescent="0.25">
      <c r="A668" t="s">
        <v>1409</v>
      </c>
      <c r="B668" t="s">
        <v>1410</v>
      </c>
      <c r="C668" t="s">
        <v>2046</v>
      </c>
      <c r="D668" t="s">
        <v>1522</v>
      </c>
      <c r="E668">
        <v>36.375489081739111</v>
      </c>
      <c r="F668">
        <v>33.935376664534701</v>
      </c>
      <c r="G668" t="str">
        <f t="shared" si="10"/>
        <v>36,3754890817391 - 33,9353766645347</v>
      </c>
    </row>
    <row r="669" spans="1:7" x14ac:dyDescent="0.25">
      <c r="A669" t="s">
        <v>1411</v>
      </c>
      <c r="B669" t="s">
        <v>1412</v>
      </c>
      <c r="C669" t="s">
        <v>983</v>
      </c>
      <c r="D669" t="s">
        <v>982</v>
      </c>
      <c r="E669">
        <v>41.071992899999998</v>
      </c>
      <c r="F669">
        <v>28.262277600000001</v>
      </c>
      <c r="G669" t="str">
        <f t="shared" si="10"/>
        <v>41,0719929 - 28,2622776</v>
      </c>
    </row>
    <row r="670" spans="1:7" x14ac:dyDescent="0.25">
      <c r="A670" t="s">
        <v>1413</v>
      </c>
      <c r="B670" t="s">
        <v>1414</v>
      </c>
      <c r="C670" t="s">
        <v>2056</v>
      </c>
      <c r="D670" t="s">
        <v>1554</v>
      </c>
      <c r="E670">
        <v>38.147521435553543</v>
      </c>
      <c r="F670">
        <v>41.00491660817783</v>
      </c>
      <c r="G670" t="str">
        <f t="shared" si="10"/>
        <v>38,1475214355535 - 41,0049166081778</v>
      </c>
    </row>
    <row r="671" spans="1:7" x14ac:dyDescent="0.25">
      <c r="A671" t="s">
        <v>1415</v>
      </c>
      <c r="B671" t="s">
        <v>1416</v>
      </c>
      <c r="C671" t="s">
        <v>1487</v>
      </c>
      <c r="D671" t="s">
        <v>1486</v>
      </c>
      <c r="E671">
        <v>40.253802</v>
      </c>
      <c r="F671">
        <v>27.343890999999999</v>
      </c>
      <c r="G671" t="str">
        <f t="shared" si="10"/>
        <v>40,253802 - 27,343891</v>
      </c>
    </row>
    <row r="672" spans="1:7" x14ac:dyDescent="0.25">
      <c r="A672" t="s">
        <v>1417</v>
      </c>
      <c r="B672" t="s">
        <v>1418</v>
      </c>
      <c r="C672" t="s">
        <v>1750</v>
      </c>
      <c r="D672" t="s">
        <v>141</v>
      </c>
      <c r="E672">
        <v>42.007441</v>
      </c>
      <c r="F672">
        <v>35.086120999999999</v>
      </c>
      <c r="G672" t="str">
        <f t="shared" si="10"/>
        <v>42,007441 - 35,086121</v>
      </c>
    </row>
    <row r="673" spans="1:7" x14ac:dyDescent="0.25">
      <c r="A673" t="s">
        <v>1419</v>
      </c>
      <c r="B673" t="s">
        <v>1420</v>
      </c>
      <c r="C673" t="s">
        <v>1766</v>
      </c>
      <c r="D673" t="s">
        <v>177</v>
      </c>
      <c r="E673">
        <v>39.733668000000002</v>
      </c>
      <c r="F673">
        <v>37.016834000000003</v>
      </c>
      <c r="G673" t="str">
        <f t="shared" si="10"/>
        <v>39,733668 - 37,016834</v>
      </c>
    </row>
    <row r="674" spans="1:7" x14ac:dyDescent="0.25">
      <c r="A674" t="s">
        <v>1421</v>
      </c>
      <c r="B674" t="s">
        <v>1422</v>
      </c>
      <c r="C674" t="s">
        <v>908</v>
      </c>
      <c r="D674" t="s">
        <v>907</v>
      </c>
      <c r="E674">
        <v>38.504998000000001</v>
      </c>
      <c r="F674">
        <v>29.676282</v>
      </c>
      <c r="G674" t="str">
        <f t="shared" si="10"/>
        <v>38,504998 - 29,676282</v>
      </c>
    </row>
    <row r="675" spans="1:7" x14ac:dyDescent="0.25">
      <c r="A675" t="s">
        <v>1423</v>
      </c>
      <c r="B675" t="s">
        <v>1424</v>
      </c>
      <c r="C675" t="s">
        <v>2053</v>
      </c>
      <c r="D675" t="s">
        <v>1548</v>
      </c>
      <c r="E675">
        <v>37.743037079494698</v>
      </c>
      <c r="F675">
        <v>39.306385110707211</v>
      </c>
      <c r="G675" t="str">
        <f t="shared" si="10"/>
        <v>37,7430370794947 - 39,3063851107072</v>
      </c>
    </row>
    <row r="676" spans="1:7" x14ac:dyDescent="0.25">
      <c r="A676" t="s">
        <v>1425</v>
      </c>
      <c r="B676" t="s">
        <v>1426</v>
      </c>
      <c r="C676" t="s">
        <v>1903</v>
      </c>
      <c r="D676" t="s">
        <v>470</v>
      </c>
      <c r="E676">
        <v>38.965991000000002</v>
      </c>
      <c r="F676">
        <v>41.052678999999998</v>
      </c>
      <c r="G676" t="str">
        <f t="shared" si="10"/>
        <v>38,965991 - 41,052679</v>
      </c>
    </row>
    <row r="677" spans="1:7" x14ac:dyDescent="0.25">
      <c r="A677" t="s">
        <v>1427</v>
      </c>
      <c r="B677" t="s">
        <v>1428</v>
      </c>
      <c r="C677" t="s">
        <v>1808</v>
      </c>
      <c r="D677" t="s">
        <v>265</v>
      </c>
      <c r="E677">
        <v>39.812463000000001</v>
      </c>
      <c r="F677">
        <v>35.189126000000002</v>
      </c>
      <c r="G677" t="str">
        <f t="shared" si="10"/>
        <v>39,812463 - 35,189126</v>
      </c>
    </row>
    <row r="678" spans="1:7" x14ac:dyDescent="0.25">
      <c r="A678" t="s">
        <v>1429</v>
      </c>
      <c r="B678" t="s">
        <v>1430</v>
      </c>
      <c r="C678" t="s">
        <v>1278</v>
      </c>
      <c r="D678" t="s">
        <v>1277</v>
      </c>
      <c r="E678">
        <v>41.196451000000003</v>
      </c>
      <c r="F678">
        <v>32.625377</v>
      </c>
      <c r="G678" t="str">
        <f t="shared" si="10"/>
        <v>41,196451 - 32,625377</v>
      </c>
    </row>
    <row r="679" spans="1:7" x14ac:dyDescent="0.25">
      <c r="A679" t="s">
        <v>1431</v>
      </c>
      <c r="B679" t="s">
        <v>1432</v>
      </c>
      <c r="C679" t="s">
        <v>1745</v>
      </c>
      <c r="D679" t="s">
        <v>130</v>
      </c>
      <c r="E679">
        <v>37.751206000000003</v>
      </c>
      <c r="F679">
        <v>27.411902999999999</v>
      </c>
      <c r="G679" t="str">
        <f t="shared" si="10"/>
        <v>37,751206 - 27,411903</v>
      </c>
    </row>
    <row r="680" spans="1:7" x14ac:dyDescent="0.25">
      <c r="A680" t="s">
        <v>1433</v>
      </c>
      <c r="B680" t="s">
        <v>1434</v>
      </c>
      <c r="C680" t="s">
        <v>608</v>
      </c>
      <c r="D680" t="s">
        <v>606</v>
      </c>
      <c r="E680">
        <v>37.517155000000002</v>
      </c>
      <c r="F680">
        <v>29.303422999999999</v>
      </c>
      <c r="G680" t="str">
        <f t="shared" si="10"/>
        <v>37,517155 - 29,303423</v>
      </c>
    </row>
    <row r="681" spans="1:7" x14ac:dyDescent="0.25">
      <c r="A681" t="s">
        <v>1435</v>
      </c>
      <c r="B681" t="s">
        <v>1436</v>
      </c>
      <c r="C681" t="s">
        <v>1108</v>
      </c>
      <c r="D681" t="s">
        <v>1107</v>
      </c>
      <c r="E681">
        <v>38.370234000000004</v>
      </c>
      <c r="F681">
        <v>31.438488</v>
      </c>
      <c r="G681" t="str">
        <f t="shared" si="10"/>
        <v>38,370234 - 31,438488</v>
      </c>
    </row>
    <row r="682" spans="1:7" x14ac:dyDescent="0.25">
      <c r="A682" t="s">
        <v>1437</v>
      </c>
      <c r="B682" t="s">
        <v>1438</v>
      </c>
      <c r="C682" t="s">
        <v>1594</v>
      </c>
      <c r="D682" t="s">
        <v>1593</v>
      </c>
      <c r="E682">
        <v>40.973507917947899</v>
      </c>
      <c r="F682">
        <v>29.262236720749353</v>
      </c>
      <c r="G682" t="str">
        <f t="shared" si="10"/>
        <v>40,9735079179479 - 29,2622367207494</v>
      </c>
    </row>
    <row r="683" spans="1:7" x14ac:dyDescent="0.25">
      <c r="A683" t="s">
        <v>1439</v>
      </c>
      <c r="B683" t="s">
        <v>1440</v>
      </c>
      <c r="C683" t="s">
        <v>1074</v>
      </c>
      <c r="D683" t="s">
        <v>1073</v>
      </c>
      <c r="E683">
        <v>38.358341000000003</v>
      </c>
      <c r="F683">
        <v>33.983652999999997</v>
      </c>
      <c r="G683" t="str">
        <f t="shared" si="10"/>
        <v>38,358341 - 33,983653</v>
      </c>
    </row>
    <row r="684" spans="1:7" x14ac:dyDescent="0.25">
      <c r="A684" t="s">
        <v>1441</v>
      </c>
      <c r="B684" t="s">
        <v>1442</v>
      </c>
      <c r="C684" t="s">
        <v>780</v>
      </c>
      <c r="D684" t="s">
        <v>779</v>
      </c>
      <c r="E684">
        <v>37.885719999999999</v>
      </c>
      <c r="F684">
        <v>28.155670000000001</v>
      </c>
      <c r="G684" t="str">
        <f t="shared" si="10"/>
        <v>37,88572 - 28,15567</v>
      </c>
    </row>
    <row r="685" spans="1:7" x14ac:dyDescent="0.25">
      <c r="A685" t="s">
        <v>1443</v>
      </c>
      <c r="B685" t="s">
        <v>1444</v>
      </c>
      <c r="C685" t="s">
        <v>1904</v>
      </c>
      <c r="D685" t="s">
        <v>472</v>
      </c>
      <c r="E685">
        <v>40.824219999999997</v>
      </c>
      <c r="F685">
        <v>35.635838</v>
      </c>
      <c r="G685" t="str">
        <f t="shared" si="10"/>
        <v>40,82422 - 35,635838</v>
      </c>
    </row>
    <row r="686" spans="1:7" x14ac:dyDescent="0.25">
      <c r="A686" t="s">
        <v>1445</v>
      </c>
      <c r="B686" t="s">
        <v>1446</v>
      </c>
      <c r="C686" t="s">
        <v>2021</v>
      </c>
      <c r="D686" t="s">
        <v>1055</v>
      </c>
      <c r="E686">
        <v>39.997500000000002</v>
      </c>
      <c r="F686">
        <v>36.084193999999997</v>
      </c>
      <c r="G686" t="str">
        <f t="shared" si="10"/>
        <v>39,9975 - 36,084194</v>
      </c>
    </row>
    <row r="687" spans="1:7" x14ac:dyDescent="0.25">
      <c r="A687" t="s">
        <v>1447</v>
      </c>
      <c r="B687" t="s">
        <v>1448</v>
      </c>
      <c r="C687" t="s">
        <v>1905</v>
      </c>
      <c r="D687" t="s">
        <v>474</v>
      </c>
      <c r="E687">
        <v>40.159467999999997</v>
      </c>
      <c r="F687">
        <v>34.363486000000002</v>
      </c>
      <c r="G687" t="str">
        <f t="shared" si="10"/>
        <v>40,159468 - 34,363486</v>
      </c>
    </row>
    <row r="688" spans="1:7" x14ac:dyDescent="0.25">
      <c r="A688" t="s">
        <v>1449</v>
      </c>
      <c r="B688" t="s">
        <v>1450</v>
      </c>
      <c r="C688" t="s">
        <v>2059</v>
      </c>
      <c r="D688" t="s">
        <v>1620</v>
      </c>
      <c r="E688">
        <v>36.41563</v>
      </c>
      <c r="F688">
        <v>34.081679999999999</v>
      </c>
      <c r="G688" t="str">
        <f t="shared" si="10"/>
        <v>36,41563 - 34,08168</v>
      </c>
    </row>
    <row r="689" spans="1:7" x14ac:dyDescent="0.25">
      <c r="A689" t="s">
        <v>1451</v>
      </c>
      <c r="B689" t="s">
        <v>1452</v>
      </c>
      <c r="C689" t="s">
        <v>1912</v>
      </c>
      <c r="D689" t="s">
        <v>490</v>
      </c>
      <c r="E689">
        <v>39.915298999999997</v>
      </c>
      <c r="F689">
        <v>28.162240000000001</v>
      </c>
      <c r="G689" t="str">
        <f t="shared" si="10"/>
        <v>39,915299 - 28,16224</v>
      </c>
    </row>
    <row r="690" spans="1:7" x14ac:dyDescent="0.25">
      <c r="A690" t="s">
        <v>1453</v>
      </c>
      <c r="B690" t="s">
        <v>1454</v>
      </c>
      <c r="C690" t="s">
        <v>1906</v>
      </c>
      <c r="D690" t="s">
        <v>478</v>
      </c>
      <c r="E690">
        <v>40.175088000000002</v>
      </c>
      <c r="F690">
        <v>38.082538</v>
      </c>
      <c r="G690" t="str">
        <f t="shared" si="10"/>
        <v>40,175088 - 38,082538</v>
      </c>
    </row>
    <row r="691" spans="1:7" x14ac:dyDescent="0.25">
      <c r="A691" t="s">
        <v>1455</v>
      </c>
      <c r="B691" t="s">
        <v>1456</v>
      </c>
      <c r="C691" t="s">
        <v>2038</v>
      </c>
      <c r="D691" t="s">
        <v>1447</v>
      </c>
      <c r="E691">
        <v>41.453181000000001</v>
      </c>
      <c r="F691">
        <v>31.776978</v>
      </c>
      <c r="G691" t="str">
        <f t="shared" si="10"/>
        <v>41,453181 - 31,776978</v>
      </c>
    </row>
    <row r="692" spans="1:7" x14ac:dyDescent="0.25">
      <c r="A692" t="s">
        <v>1457</v>
      </c>
      <c r="B692" t="s">
        <v>1458</v>
      </c>
      <c r="C692" t="s">
        <v>1469</v>
      </c>
      <c r="D692" t="s">
        <v>1467</v>
      </c>
      <c r="E692">
        <v>39.275199999999998</v>
      </c>
      <c r="F692">
        <v>34.117249999999999</v>
      </c>
      <c r="G692" t="str">
        <f t="shared" si="10"/>
        <v>39,2752 - 34,11725</v>
      </c>
    </row>
    <row r="693" spans="1:7" x14ac:dyDescent="0.25">
      <c r="A693" t="s">
        <v>1459</v>
      </c>
      <c r="B693" t="s">
        <v>1460</v>
      </c>
      <c r="C693" t="s">
        <v>2055</v>
      </c>
      <c r="D693" t="s">
        <v>1552</v>
      </c>
      <c r="E693">
        <v>37.186850110582249</v>
      </c>
      <c r="F693">
        <v>38.804538970213052</v>
      </c>
      <c r="G693" t="str">
        <f t="shared" si="10"/>
        <v>37,1868501105822 - 38,8045389702131</v>
      </c>
    </row>
    <row r="694" spans="1:7" x14ac:dyDescent="0.25">
      <c r="A694" t="s">
        <v>1461</v>
      </c>
      <c r="B694" t="s">
        <v>1462</v>
      </c>
      <c r="C694" t="s">
        <v>1896</v>
      </c>
      <c r="D694" t="s">
        <v>456</v>
      </c>
      <c r="E694">
        <v>39.343179999999997</v>
      </c>
      <c r="F694">
        <v>36.389664000000003</v>
      </c>
      <c r="G694" t="str">
        <f t="shared" si="10"/>
        <v>39,34318 - 36,389664</v>
      </c>
    </row>
    <row r="695" spans="1:7" x14ac:dyDescent="0.25">
      <c r="A695" t="s">
        <v>1463</v>
      </c>
      <c r="B695" t="s">
        <v>1464</v>
      </c>
      <c r="C695" t="s">
        <v>1895</v>
      </c>
      <c r="D695" t="s">
        <v>454</v>
      </c>
      <c r="E695">
        <v>38.085290999999998</v>
      </c>
      <c r="F695">
        <v>31.373182</v>
      </c>
      <c r="G695" t="str">
        <f t="shared" si="10"/>
        <v>38,085291 - 31,373182</v>
      </c>
    </row>
    <row r="696" spans="1:7" x14ac:dyDescent="0.25">
      <c r="A696" t="s">
        <v>1465</v>
      </c>
      <c r="B696" t="s">
        <v>1466</v>
      </c>
      <c r="C696" t="s">
        <v>896</v>
      </c>
      <c r="D696" t="s">
        <v>894</v>
      </c>
      <c r="E696">
        <v>39.075237999999999</v>
      </c>
      <c r="F696">
        <v>33.411650000000002</v>
      </c>
      <c r="G696" t="str">
        <f t="shared" si="10"/>
        <v>39,075238 - 33,41165</v>
      </c>
    </row>
    <row r="697" spans="1:7" x14ac:dyDescent="0.25">
      <c r="A697" t="s">
        <v>1467</v>
      </c>
      <c r="B697" t="s">
        <v>1468</v>
      </c>
      <c r="C697" t="s">
        <v>902</v>
      </c>
      <c r="D697" t="s">
        <v>901</v>
      </c>
      <c r="E697">
        <v>38.937545999999998</v>
      </c>
      <c r="F697">
        <v>33.538417000000003</v>
      </c>
      <c r="G697" t="str">
        <f t="shared" si="10"/>
        <v>38,937546 - 33,538417</v>
      </c>
    </row>
    <row r="698" spans="1:7" x14ac:dyDescent="0.25">
      <c r="A698" t="s">
        <v>1470</v>
      </c>
      <c r="B698" t="s">
        <v>1471</v>
      </c>
      <c r="C698" t="s">
        <v>1481</v>
      </c>
      <c r="D698" t="s">
        <v>1480</v>
      </c>
      <c r="E698">
        <v>40.253802</v>
      </c>
      <c r="F698">
        <v>27.343890999999999</v>
      </c>
      <c r="G698" t="str">
        <f t="shared" si="10"/>
        <v>40,253802 - 27,343891</v>
      </c>
    </row>
    <row r="699" spans="1:7" x14ac:dyDescent="0.25">
      <c r="A699" t="s">
        <v>1472</v>
      </c>
      <c r="B699" t="s">
        <v>1473</v>
      </c>
      <c r="C699" t="s">
        <v>1674</v>
      </c>
      <c r="D699" t="s">
        <v>1672</v>
      </c>
      <c r="E699">
        <v>38.356458731508795</v>
      </c>
      <c r="F699">
        <v>33.972600286955611</v>
      </c>
      <c r="G699" t="str">
        <f t="shared" si="10"/>
        <v>38,3564587315088 - 33,9726002869556</v>
      </c>
    </row>
    <row r="700" spans="1:7" x14ac:dyDescent="0.25">
      <c r="A700" t="s">
        <v>1474</v>
      </c>
      <c r="B700" t="s">
        <v>1475</v>
      </c>
      <c r="C700" t="s">
        <v>1763</v>
      </c>
      <c r="D700" t="s">
        <v>169</v>
      </c>
      <c r="E700">
        <v>36.924276999999996</v>
      </c>
      <c r="F700">
        <v>34.926079000000001</v>
      </c>
      <c r="G700" t="str">
        <f t="shared" si="10"/>
        <v>36,924277 - 34,926079</v>
      </c>
    </row>
    <row r="701" spans="1:7" x14ac:dyDescent="0.25">
      <c r="A701" t="s">
        <v>1476</v>
      </c>
      <c r="B701" t="s">
        <v>1477</v>
      </c>
      <c r="C701" t="s">
        <v>1422</v>
      </c>
      <c r="D701" t="s">
        <v>1421</v>
      </c>
      <c r="E701">
        <v>38.289577000000001</v>
      </c>
      <c r="F701">
        <v>31.177681</v>
      </c>
      <c r="G701" t="str">
        <f t="shared" si="10"/>
        <v>38,289577 - 31,177681</v>
      </c>
    </row>
    <row r="702" spans="1:7" x14ac:dyDescent="0.25">
      <c r="A702" t="s">
        <v>1478</v>
      </c>
      <c r="B702" t="s">
        <v>1479</v>
      </c>
      <c r="C702" t="s">
        <v>1754</v>
      </c>
      <c r="D702" t="s">
        <v>151</v>
      </c>
      <c r="E702">
        <v>41.512694925144999</v>
      </c>
      <c r="F702">
        <v>34.217029134633599</v>
      </c>
      <c r="G702" t="str">
        <f t="shared" si="10"/>
        <v>41,512694925145 - 34,2170291346336</v>
      </c>
    </row>
    <row r="703" spans="1:7" x14ac:dyDescent="0.25">
      <c r="A703" t="s">
        <v>1480</v>
      </c>
      <c r="B703" t="s">
        <v>1481</v>
      </c>
      <c r="C703" t="s">
        <v>1563</v>
      </c>
      <c r="D703" t="s">
        <v>1561</v>
      </c>
      <c r="E703">
        <v>37.430966426763412</v>
      </c>
      <c r="F703">
        <v>34.875441913899252</v>
      </c>
      <c r="G703" t="str">
        <f t="shared" si="10"/>
        <v>37,4309664267634 - 34,8754419138993</v>
      </c>
    </row>
    <row r="704" spans="1:7" x14ac:dyDescent="0.25">
      <c r="A704" t="s">
        <v>1482</v>
      </c>
      <c r="B704" t="s">
        <v>1483</v>
      </c>
      <c r="C704" t="s">
        <v>1186</v>
      </c>
      <c r="D704" t="s">
        <v>1185</v>
      </c>
      <c r="E704">
        <v>40.399422000000001</v>
      </c>
      <c r="F704">
        <v>27.794895</v>
      </c>
      <c r="G704" t="str">
        <f t="shared" si="10"/>
        <v>40,399422 - 27,794895</v>
      </c>
    </row>
    <row r="705" spans="1:7" x14ac:dyDescent="0.25">
      <c r="A705" t="s">
        <v>1484</v>
      </c>
      <c r="B705" t="s">
        <v>1485</v>
      </c>
      <c r="C705" t="s">
        <v>1807</v>
      </c>
      <c r="D705" t="s">
        <v>263</v>
      </c>
      <c r="E705">
        <v>38.513297314600003</v>
      </c>
      <c r="F705">
        <v>42.278740922799997</v>
      </c>
      <c r="G705" t="str">
        <f t="shared" ref="G705:G768" si="11">CONCATENATE(E705," - ",F705)</f>
        <v>38,5132973146 - 42,2787409228</v>
      </c>
    </row>
    <row r="706" spans="1:7" x14ac:dyDescent="0.25">
      <c r="A706" t="s">
        <v>1486</v>
      </c>
      <c r="B706" t="s">
        <v>1487</v>
      </c>
      <c r="C706" t="s">
        <v>1915</v>
      </c>
      <c r="D706" t="s">
        <v>498</v>
      </c>
      <c r="E706">
        <v>37.565798000000001</v>
      </c>
      <c r="F706">
        <v>29.064374000000001</v>
      </c>
      <c r="G706" t="str">
        <f t="shared" si="11"/>
        <v>37,565798 - 29,064374</v>
      </c>
    </row>
    <row r="707" spans="1:7" x14ac:dyDescent="0.25">
      <c r="A707" t="s">
        <v>1488</v>
      </c>
      <c r="B707" t="s">
        <v>1489</v>
      </c>
      <c r="C707" t="s">
        <v>1804</v>
      </c>
      <c r="D707" t="s">
        <v>257</v>
      </c>
      <c r="E707">
        <v>39.539442999999999</v>
      </c>
      <c r="F707">
        <v>29.518165</v>
      </c>
      <c r="G707" t="str">
        <f t="shared" si="11"/>
        <v>39,539443 - 29,518165</v>
      </c>
    </row>
    <row r="708" spans="1:7" x14ac:dyDescent="0.25">
      <c r="A708" t="s">
        <v>1490</v>
      </c>
      <c r="B708" t="s">
        <v>1491</v>
      </c>
      <c r="C708" t="s">
        <v>597</v>
      </c>
      <c r="D708" t="s">
        <v>595</v>
      </c>
      <c r="E708">
        <v>40.751956</v>
      </c>
      <c r="F708">
        <v>30.697013999999999</v>
      </c>
      <c r="G708" t="str">
        <f t="shared" si="11"/>
        <v>40,751956 - 30,697014</v>
      </c>
    </row>
    <row r="709" spans="1:7" x14ac:dyDescent="0.25">
      <c r="A709" t="s">
        <v>1492</v>
      </c>
      <c r="B709" t="s">
        <v>1493</v>
      </c>
      <c r="C709" t="s">
        <v>605</v>
      </c>
      <c r="D709" t="s">
        <v>604</v>
      </c>
      <c r="E709">
        <v>40.752617999999998</v>
      </c>
      <c r="F709">
        <v>30.696625000000001</v>
      </c>
      <c r="G709" t="str">
        <f t="shared" si="11"/>
        <v>40,752618 - 30,696625</v>
      </c>
    </row>
    <row r="710" spans="1:7" x14ac:dyDescent="0.25">
      <c r="A710" t="s">
        <v>1494</v>
      </c>
      <c r="B710" t="s">
        <v>1495</v>
      </c>
      <c r="C710" t="s">
        <v>1916</v>
      </c>
      <c r="D710" t="s">
        <v>500</v>
      </c>
      <c r="E710">
        <v>37.30959</v>
      </c>
      <c r="F710">
        <v>29.777369</v>
      </c>
      <c r="G710" t="str">
        <f t="shared" si="11"/>
        <v>37,30959 - 29,777369</v>
      </c>
    </row>
    <row r="711" spans="1:7" x14ac:dyDescent="0.25">
      <c r="A711" t="s">
        <v>1496</v>
      </c>
      <c r="B711" t="s">
        <v>1497</v>
      </c>
      <c r="C711" t="s">
        <v>1731</v>
      </c>
      <c r="D711" t="s">
        <v>73</v>
      </c>
      <c r="E711">
        <v>41.000826616389979</v>
      </c>
      <c r="F711">
        <v>27.509284325316756</v>
      </c>
      <c r="G711" t="str">
        <f t="shared" si="11"/>
        <v>41,00082661639 - 27,5092843253168</v>
      </c>
    </row>
    <row r="712" spans="1:7" x14ac:dyDescent="0.25">
      <c r="A712" t="s">
        <v>1498</v>
      </c>
      <c r="B712" t="s">
        <v>1499</v>
      </c>
      <c r="C712" t="s">
        <v>1358</v>
      </c>
      <c r="D712" t="s">
        <v>1357</v>
      </c>
      <c r="E712">
        <v>36.363807000000001</v>
      </c>
      <c r="F712">
        <v>30.303591999999998</v>
      </c>
      <c r="G712" t="str">
        <f t="shared" si="11"/>
        <v>36,363807 - 30,303592</v>
      </c>
    </row>
    <row r="713" spans="1:7" x14ac:dyDescent="0.25">
      <c r="A713" t="s">
        <v>1501</v>
      </c>
      <c r="B713" t="s">
        <v>1502</v>
      </c>
      <c r="C713" t="s">
        <v>1392</v>
      </c>
      <c r="D713" t="s">
        <v>1391</v>
      </c>
      <c r="E713">
        <v>38.513674999999999</v>
      </c>
      <c r="F713">
        <v>43.377628000000001</v>
      </c>
      <c r="G713" t="str">
        <f t="shared" si="11"/>
        <v>38,513675 - 43,377628</v>
      </c>
    </row>
    <row r="714" spans="1:7" x14ac:dyDescent="0.25">
      <c r="A714" t="s">
        <v>1503</v>
      </c>
      <c r="B714" t="s">
        <v>1504</v>
      </c>
      <c r="C714" t="s">
        <v>1800</v>
      </c>
      <c r="D714" t="s">
        <v>249</v>
      </c>
      <c r="E714">
        <v>41.217387000000002</v>
      </c>
      <c r="F714">
        <v>36.454084999999999</v>
      </c>
      <c r="G714" t="str">
        <f t="shared" si="11"/>
        <v>41,217387 - 36,454085</v>
      </c>
    </row>
    <row r="715" spans="1:7" x14ac:dyDescent="0.25">
      <c r="A715" t="s">
        <v>1505</v>
      </c>
      <c r="B715" t="s">
        <v>1506</v>
      </c>
      <c r="C715" t="s">
        <v>1402</v>
      </c>
      <c r="D715" t="s">
        <v>1401</v>
      </c>
      <c r="E715">
        <v>38.589663000000002</v>
      </c>
      <c r="F715">
        <v>34.678972000000002</v>
      </c>
      <c r="G715" t="str">
        <f t="shared" si="11"/>
        <v>38,589663 - 34,678972</v>
      </c>
    </row>
    <row r="716" spans="1:7" x14ac:dyDescent="0.25">
      <c r="A716" t="s">
        <v>1508</v>
      </c>
      <c r="B716" t="s">
        <v>1509</v>
      </c>
      <c r="C716" t="s">
        <v>883</v>
      </c>
      <c r="D716" t="s">
        <v>882</v>
      </c>
      <c r="E716">
        <v>39.776592000000001</v>
      </c>
      <c r="F716">
        <v>40.383432999999997</v>
      </c>
      <c r="G716" t="str">
        <f t="shared" si="11"/>
        <v>39,776592 - 40,383433</v>
      </c>
    </row>
    <row r="717" spans="1:7" x14ac:dyDescent="0.25">
      <c r="A717" t="s">
        <v>1510</v>
      </c>
      <c r="B717" t="s">
        <v>1511</v>
      </c>
      <c r="C717" t="s">
        <v>1794</v>
      </c>
      <c r="D717" t="s">
        <v>235</v>
      </c>
      <c r="E717">
        <v>41.203598999999997</v>
      </c>
      <c r="F717">
        <v>37.004613999999997</v>
      </c>
      <c r="G717" t="str">
        <f t="shared" si="11"/>
        <v>41,203599 - 37,004614</v>
      </c>
    </row>
    <row r="718" spans="1:7" x14ac:dyDescent="0.25">
      <c r="A718" t="s">
        <v>1512</v>
      </c>
      <c r="B718" t="s">
        <v>1513</v>
      </c>
      <c r="C718" t="s">
        <v>2044</v>
      </c>
      <c r="D718" t="s">
        <v>1461</v>
      </c>
      <c r="E718">
        <v>41.453181000000001</v>
      </c>
      <c r="F718">
        <v>31.776978</v>
      </c>
      <c r="G718" t="str">
        <f t="shared" si="11"/>
        <v>41,453181 - 31,776978</v>
      </c>
    </row>
    <row r="719" spans="1:7" x14ac:dyDescent="0.25">
      <c r="A719" t="s">
        <v>1514</v>
      </c>
      <c r="B719" t="s">
        <v>1515</v>
      </c>
      <c r="C719" t="s">
        <v>2041</v>
      </c>
      <c r="D719" t="s">
        <v>1453</v>
      </c>
      <c r="E719">
        <v>41.453181000000001</v>
      </c>
      <c r="F719">
        <v>31.776978</v>
      </c>
      <c r="G719" t="str">
        <f t="shared" si="11"/>
        <v>41,453181 - 31,776978</v>
      </c>
    </row>
    <row r="720" spans="1:7" x14ac:dyDescent="0.25">
      <c r="A720" t="s">
        <v>1516</v>
      </c>
      <c r="B720" t="s">
        <v>1517</v>
      </c>
      <c r="C720" t="s">
        <v>1192</v>
      </c>
      <c r="D720" t="s">
        <v>1191</v>
      </c>
      <c r="E720">
        <v>39.775838</v>
      </c>
      <c r="F720">
        <v>30.553260000000002</v>
      </c>
      <c r="G720" t="str">
        <f t="shared" si="11"/>
        <v>39,775838 - 30,55326</v>
      </c>
    </row>
    <row r="721" spans="1:7" x14ac:dyDescent="0.25">
      <c r="A721" t="s">
        <v>1518</v>
      </c>
      <c r="B721" t="s">
        <v>1519</v>
      </c>
      <c r="C721" t="s">
        <v>1352</v>
      </c>
      <c r="D721" t="s">
        <v>1351</v>
      </c>
      <c r="E721">
        <v>37.950322999999997</v>
      </c>
      <c r="F721">
        <v>32.509435000000003</v>
      </c>
      <c r="G721" t="str">
        <f t="shared" si="11"/>
        <v>37,950323 - 32,509435</v>
      </c>
    </row>
    <row r="722" spans="1:7" x14ac:dyDescent="0.25">
      <c r="A722" t="s">
        <v>1520</v>
      </c>
      <c r="B722" t="s">
        <v>1521</v>
      </c>
      <c r="C722" t="s">
        <v>2000</v>
      </c>
      <c r="D722" t="s">
        <v>1005</v>
      </c>
      <c r="E722">
        <v>38.094462</v>
      </c>
      <c r="F722">
        <v>27.743449999999999</v>
      </c>
      <c r="G722" t="str">
        <f t="shared" si="11"/>
        <v>38,094462 - 27,74345</v>
      </c>
    </row>
    <row r="723" spans="1:7" x14ac:dyDescent="0.25">
      <c r="A723" t="s">
        <v>1522</v>
      </c>
      <c r="B723" t="s">
        <v>1523</v>
      </c>
      <c r="C723" t="s">
        <v>1917</v>
      </c>
      <c r="D723" t="s">
        <v>502</v>
      </c>
      <c r="E723">
        <v>41.007930999999999</v>
      </c>
      <c r="F723">
        <v>38.813378</v>
      </c>
      <c r="G723" t="str">
        <f t="shared" si="11"/>
        <v>41,007931 - 38,813378</v>
      </c>
    </row>
    <row r="724" spans="1:7" x14ac:dyDescent="0.25">
      <c r="A724" t="s">
        <v>1524</v>
      </c>
      <c r="B724" t="s">
        <v>1525</v>
      </c>
      <c r="C724" t="s">
        <v>1416</v>
      </c>
      <c r="D724" t="s">
        <v>1415</v>
      </c>
      <c r="E724">
        <v>38.289577000000001</v>
      </c>
      <c r="F724">
        <v>31.177681</v>
      </c>
      <c r="G724" t="str">
        <f t="shared" si="11"/>
        <v>38,289577 - 31,177681</v>
      </c>
    </row>
    <row r="725" spans="1:7" x14ac:dyDescent="0.25">
      <c r="A725" t="s">
        <v>1527</v>
      </c>
      <c r="B725" t="s">
        <v>1528</v>
      </c>
      <c r="C725" t="s">
        <v>1761</v>
      </c>
      <c r="D725" t="s">
        <v>165</v>
      </c>
      <c r="E725">
        <v>40.328315000000003</v>
      </c>
      <c r="F725">
        <v>36.559496000000003</v>
      </c>
      <c r="G725" t="str">
        <f t="shared" si="11"/>
        <v>40,328315 - 36,559496</v>
      </c>
    </row>
    <row r="726" spans="1:7" x14ac:dyDescent="0.25">
      <c r="A726" t="s">
        <v>1530</v>
      </c>
      <c r="B726" t="s">
        <v>1531</v>
      </c>
      <c r="C726" t="s">
        <v>1110</v>
      </c>
      <c r="D726" t="s">
        <v>1109</v>
      </c>
      <c r="E726">
        <v>36.921686000000001</v>
      </c>
      <c r="F726">
        <v>30.663936</v>
      </c>
      <c r="G726" t="str">
        <f t="shared" si="11"/>
        <v>36,921686 - 30,663936</v>
      </c>
    </row>
    <row r="727" spans="1:7" x14ac:dyDescent="0.25">
      <c r="A727" t="s">
        <v>1532</v>
      </c>
      <c r="B727" t="s">
        <v>1533</v>
      </c>
      <c r="C727" t="s">
        <v>1298</v>
      </c>
      <c r="D727" t="s">
        <v>1297</v>
      </c>
      <c r="E727">
        <v>38.749828999999998</v>
      </c>
      <c r="F727">
        <v>35.402219000000002</v>
      </c>
      <c r="G727" t="str">
        <f t="shared" si="11"/>
        <v>38,749829 - 35,402219</v>
      </c>
    </row>
    <row r="728" spans="1:7" x14ac:dyDescent="0.25">
      <c r="A728" t="s">
        <v>1535</v>
      </c>
      <c r="B728" t="s">
        <v>1536</v>
      </c>
      <c r="C728" t="s">
        <v>2016</v>
      </c>
      <c r="D728" t="s">
        <v>1042</v>
      </c>
      <c r="E728">
        <v>40.693150000000003</v>
      </c>
      <c r="F728">
        <v>29.456420000000001</v>
      </c>
      <c r="G728" t="str">
        <f t="shared" si="11"/>
        <v>40,69315 - 29,45642</v>
      </c>
    </row>
    <row r="729" spans="1:7" x14ac:dyDescent="0.25">
      <c r="A729" t="s">
        <v>1538</v>
      </c>
      <c r="B729" t="s">
        <v>1539</v>
      </c>
      <c r="C729" t="s">
        <v>737</v>
      </c>
      <c r="D729" t="s">
        <v>735</v>
      </c>
      <c r="E729">
        <v>41.200645999999999</v>
      </c>
      <c r="F729">
        <v>32.909824999999998</v>
      </c>
      <c r="G729" t="str">
        <f t="shared" si="11"/>
        <v>41,200646 - 32,909825</v>
      </c>
    </row>
    <row r="730" spans="1:7" x14ac:dyDescent="0.25">
      <c r="A730" t="s">
        <v>1540</v>
      </c>
      <c r="B730" t="s">
        <v>1541</v>
      </c>
      <c r="C730" t="s">
        <v>1999</v>
      </c>
      <c r="D730" t="s">
        <v>1003</v>
      </c>
      <c r="E730">
        <v>38.145356</v>
      </c>
      <c r="F730">
        <v>27.366053999999998</v>
      </c>
      <c r="G730" t="str">
        <f t="shared" si="11"/>
        <v>38,145356 - 27,366054</v>
      </c>
    </row>
    <row r="731" spans="1:7" x14ac:dyDescent="0.25">
      <c r="A731" t="s">
        <v>1542</v>
      </c>
      <c r="B731" t="s">
        <v>1543</v>
      </c>
      <c r="C731" t="s">
        <v>910</v>
      </c>
      <c r="D731" t="s">
        <v>909</v>
      </c>
      <c r="E731">
        <v>40.556655026185332</v>
      </c>
      <c r="F731">
        <v>39.294238586518972</v>
      </c>
      <c r="G731" t="str">
        <f t="shared" si="11"/>
        <v>40,5566550261853 - 39,294238586519</v>
      </c>
    </row>
    <row r="732" spans="1:7" x14ac:dyDescent="0.25">
      <c r="A732" t="s">
        <v>1544</v>
      </c>
      <c r="B732" t="s">
        <v>1545</v>
      </c>
      <c r="C732" t="s">
        <v>1919</v>
      </c>
      <c r="D732" t="s">
        <v>506</v>
      </c>
      <c r="E732">
        <v>41.007475999999997</v>
      </c>
      <c r="F732">
        <v>34.060546000000002</v>
      </c>
      <c r="G732" t="str">
        <f t="shared" si="11"/>
        <v>41,007476 - 34,060546</v>
      </c>
    </row>
    <row r="733" spans="1:7" x14ac:dyDescent="0.25">
      <c r="A733" t="s">
        <v>1546</v>
      </c>
      <c r="B733" t="s">
        <v>1547</v>
      </c>
      <c r="C733" t="s">
        <v>1100</v>
      </c>
      <c r="D733" t="s">
        <v>1099</v>
      </c>
      <c r="E733">
        <v>36.921686000000001</v>
      </c>
      <c r="F733">
        <v>30.663936</v>
      </c>
      <c r="G733" t="str">
        <f t="shared" si="11"/>
        <v>36,921686 - 30,663936</v>
      </c>
    </row>
    <row r="734" spans="1:7" x14ac:dyDescent="0.25">
      <c r="A734" t="s">
        <v>1548</v>
      </c>
      <c r="B734" t="s">
        <v>1549</v>
      </c>
      <c r="C734" t="s">
        <v>1760</v>
      </c>
      <c r="D734" t="s">
        <v>163</v>
      </c>
      <c r="E734">
        <v>40.996400999999999</v>
      </c>
      <c r="F734">
        <v>39.751764999999999</v>
      </c>
      <c r="G734" t="str">
        <f t="shared" si="11"/>
        <v>40,996401 - 39,751765</v>
      </c>
    </row>
    <row r="735" spans="1:7" x14ac:dyDescent="0.25">
      <c r="A735" t="s">
        <v>1550</v>
      </c>
      <c r="B735" t="s">
        <v>1551</v>
      </c>
      <c r="C735" t="s">
        <v>730</v>
      </c>
      <c r="D735" t="s">
        <v>729</v>
      </c>
      <c r="E735">
        <v>40.935685999999997</v>
      </c>
      <c r="F735">
        <v>40.059359999999998</v>
      </c>
      <c r="G735" t="str">
        <f t="shared" si="11"/>
        <v>40,935686 - 40,05936</v>
      </c>
    </row>
    <row r="736" spans="1:7" x14ac:dyDescent="0.25">
      <c r="A736" t="s">
        <v>1552</v>
      </c>
      <c r="B736" t="s">
        <v>1553</v>
      </c>
      <c r="C736" t="s">
        <v>912</v>
      </c>
      <c r="D736" t="s">
        <v>911</v>
      </c>
      <c r="E736">
        <v>40.812949000000003</v>
      </c>
      <c r="F736">
        <v>39.611910999999999</v>
      </c>
      <c r="G736" t="str">
        <f t="shared" si="11"/>
        <v>40,812949 - 39,611911</v>
      </c>
    </row>
    <row r="737" spans="1:7" x14ac:dyDescent="0.25">
      <c r="A737" t="s">
        <v>1554</v>
      </c>
      <c r="B737" t="s">
        <v>1555</v>
      </c>
      <c r="C737" t="s">
        <v>914</v>
      </c>
      <c r="D737" t="s">
        <v>913</v>
      </c>
      <c r="E737">
        <v>41.004063000000002</v>
      </c>
      <c r="F737">
        <v>39.697228000000003</v>
      </c>
      <c r="G737" t="str">
        <f t="shared" si="11"/>
        <v>41,004063 - 39,697228</v>
      </c>
    </row>
    <row r="738" spans="1:7" x14ac:dyDescent="0.25">
      <c r="A738" t="s">
        <v>1556</v>
      </c>
      <c r="B738" t="s">
        <v>1557</v>
      </c>
      <c r="C738" t="s">
        <v>477</v>
      </c>
      <c r="D738" t="s">
        <v>476</v>
      </c>
      <c r="E738">
        <v>40.914955999999997</v>
      </c>
      <c r="F738">
        <v>40.109721</v>
      </c>
      <c r="G738" t="str">
        <f t="shared" si="11"/>
        <v>40,914956 - 40,109721</v>
      </c>
    </row>
    <row r="739" spans="1:7" x14ac:dyDescent="0.25">
      <c r="A739" t="s">
        <v>1558</v>
      </c>
      <c r="B739" t="s">
        <v>1559</v>
      </c>
      <c r="C739" t="s">
        <v>673</v>
      </c>
      <c r="D739" t="s">
        <v>671</v>
      </c>
      <c r="E739">
        <v>38.329774</v>
      </c>
      <c r="F739">
        <v>33.973599999999998</v>
      </c>
      <c r="G739" t="str">
        <f t="shared" si="11"/>
        <v>38,329774 - 33,9736</v>
      </c>
    </row>
    <row r="740" spans="1:7" x14ac:dyDescent="0.25">
      <c r="A740" t="s">
        <v>1561</v>
      </c>
      <c r="B740" t="s">
        <v>1562</v>
      </c>
      <c r="C740" t="s">
        <v>647</v>
      </c>
      <c r="D740" t="s">
        <v>645</v>
      </c>
      <c r="E740">
        <v>40.514071999999999</v>
      </c>
      <c r="F740">
        <v>30.235952000000001</v>
      </c>
      <c r="G740" t="str">
        <f t="shared" si="11"/>
        <v>40,514072 - 30,235952</v>
      </c>
    </row>
    <row r="741" spans="1:7" x14ac:dyDescent="0.25">
      <c r="A741" t="s">
        <v>1564</v>
      </c>
      <c r="B741" t="s">
        <v>1565</v>
      </c>
      <c r="C741" t="s">
        <v>949</v>
      </c>
      <c r="D741" t="s">
        <v>947</v>
      </c>
      <c r="E741">
        <v>40.514071999999999</v>
      </c>
      <c r="F741">
        <v>30.235952000000001</v>
      </c>
      <c r="G741" t="str">
        <f t="shared" si="11"/>
        <v>40,514072 - 30,235952</v>
      </c>
    </row>
    <row r="742" spans="1:7" x14ac:dyDescent="0.25">
      <c r="A742" t="s">
        <v>1567</v>
      </c>
      <c r="B742" t="s">
        <v>1568</v>
      </c>
      <c r="C742" t="s">
        <v>1791</v>
      </c>
      <c r="D742" t="s">
        <v>227</v>
      </c>
      <c r="E742">
        <v>38.494695999999998</v>
      </c>
      <c r="F742">
        <v>27.738265999999999</v>
      </c>
      <c r="G742" t="str">
        <f t="shared" si="11"/>
        <v>38,494696 - 27,738266</v>
      </c>
    </row>
    <row r="743" spans="1:7" x14ac:dyDescent="0.25">
      <c r="A743" t="s">
        <v>1569</v>
      </c>
      <c r="B743" t="s">
        <v>1570</v>
      </c>
      <c r="C743" t="s">
        <v>1970</v>
      </c>
      <c r="D743" t="s">
        <v>809</v>
      </c>
      <c r="E743">
        <v>37.009661999999999</v>
      </c>
      <c r="F743">
        <v>27.265947000000001</v>
      </c>
      <c r="G743" t="str">
        <f t="shared" si="11"/>
        <v>37,009662 - 27,265947</v>
      </c>
    </row>
    <row r="744" spans="1:7" x14ac:dyDescent="0.25">
      <c r="A744" t="s">
        <v>1571</v>
      </c>
      <c r="B744" t="s">
        <v>1572</v>
      </c>
      <c r="C744" t="s">
        <v>1787</v>
      </c>
      <c r="D744" t="s">
        <v>219</v>
      </c>
      <c r="E744">
        <v>40.391686</v>
      </c>
      <c r="F744">
        <v>36.088039000000002</v>
      </c>
      <c r="G744" t="str">
        <f t="shared" si="11"/>
        <v>40,391686 - 36,088039</v>
      </c>
    </row>
    <row r="745" spans="1:7" x14ac:dyDescent="0.25">
      <c r="A745" t="s">
        <v>1573</v>
      </c>
      <c r="B745" t="s">
        <v>1574</v>
      </c>
      <c r="C745" t="s">
        <v>1989</v>
      </c>
      <c r="D745" t="s">
        <v>915</v>
      </c>
      <c r="E745">
        <v>39.538373999999997</v>
      </c>
      <c r="F745">
        <v>42.773262000000003</v>
      </c>
      <c r="G745" t="str">
        <f t="shared" si="11"/>
        <v>39,538374 - 42,773262</v>
      </c>
    </row>
    <row r="746" spans="1:7" x14ac:dyDescent="0.25">
      <c r="A746" t="s">
        <v>1575</v>
      </c>
      <c r="B746" t="s">
        <v>1576</v>
      </c>
      <c r="C746" t="s">
        <v>1650</v>
      </c>
      <c r="D746" t="s">
        <v>1648</v>
      </c>
      <c r="E746">
        <v>40.791870530693686</v>
      </c>
      <c r="F746">
        <v>31.241102066793264</v>
      </c>
      <c r="G746" t="str">
        <f t="shared" si="11"/>
        <v>40,7918705306937 - 31,2411020667933</v>
      </c>
    </row>
    <row r="747" spans="1:7" x14ac:dyDescent="0.25">
      <c r="A747" t="s">
        <v>1577</v>
      </c>
      <c r="B747" t="s">
        <v>1578</v>
      </c>
      <c r="C747" t="s">
        <v>1878</v>
      </c>
      <c r="D747" t="s">
        <v>420</v>
      </c>
      <c r="E747">
        <v>38.078447074300001</v>
      </c>
      <c r="F747">
        <v>30.4494561952</v>
      </c>
      <c r="G747" t="str">
        <f t="shared" si="11"/>
        <v>38,0784470743 - 30,4494561952</v>
      </c>
    </row>
    <row r="748" spans="1:7" x14ac:dyDescent="0.25">
      <c r="A748" t="s">
        <v>1579</v>
      </c>
      <c r="B748" t="s">
        <v>1580</v>
      </c>
      <c r="C748" t="s">
        <v>2005</v>
      </c>
      <c r="D748" t="s">
        <v>1017</v>
      </c>
      <c r="E748">
        <v>41.582825999999997</v>
      </c>
      <c r="F748">
        <v>32.641646999999999</v>
      </c>
      <c r="G748" t="str">
        <f t="shared" si="11"/>
        <v>41,582826 - 32,641647</v>
      </c>
    </row>
    <row r="749" spans="1:7" x14ac:dyDescent="0.25">
      <c r="A749" t="s">
        <v>1581</v>
      </c>
      <c r="B749" t="s">
        <v>1582</v>
      </c>
      <c r="C749" t="s">
        <v>776</v>
      </c>
      <c r="D749" t="s">
        <v>775</v>
      </c>
      <c r="E749">
        <v>37.850670000000001</v>
      </c>
      <c r="F749">
        <v>27.95879</v>
      </c>
      <c r="G749" t="str">
        <f t="shared" si="11"/>
        <v>37,85067 - 27,95879</v>
      </c>
    </row>
    <row r="750" spans="1:7" x14ac:dyDescent="0.25">
      <c r="A750" t="s">
        <v>1583</v>
      </c>
      <c r="B750" t="s">
        <v>1584</v>
      </c>
      <c r="C750" t="s">
        <v>623</v>
      </c>
      <c r="D750" t="s">
        <v>621</v>
      </c>
      <c r="E750">
        <v>40.723551</v>
      </c>
      <c r="F750">
        <v>31.465444999999999</v>
      </c>
      <c r="G750" t="str">
        <f t="shared" si="11"/>
        <v>40,723551 - 31,465445</v>
      </c>
    </row>
    <row r="751" spans="1:7" x14ac:dyDescent="0.25">
      <c r="A751" t="s">
        <v>1585</v>
      </c>
      <c r="B751" t="s">
        <v>1586</v>
      </c>
      <c r="C751" t="s">
        <v>1780</v>
      </c>
      <c r="D751" t="s">
        <v>205</v>
      </c>
      <c r="E751">
        <v>38.326250999999999</v>
      </c>
      <c r="F751">
        <v>26.754649000000001</v>
      </c>
      <c r="G751" t="str">
        <f t="shared" si="11"/>
        <v>38,326251 - 26,754649</v>
      </c>
    </row>
    <row r="752" spans="1:7" x14ac:dyDescent="0.25">
      <c r="A752" t="s">
        <v>1587</v>
      </c>
      <c r="B752" t="s">
        <v>1588</v>
      </c>
      <c r="C752" t="s">
        <v>1759</v>
      </c>
      <c r="D752" t="s">
        <v>161</v>
      </c>
      <c r="E752">
        <v>38.674805999999997</v>
      </c>
      <c r="F752">
        <v>29.390466</v>
      </c>
      <c r="G752" t="str">
        <f t="shared" si="11"/>
        <v>38,674806 - 29,390466</v>
      </c>
    </row>
    <row r="753" spans="1:7" x14ac:dyDescent="0.25">
      <c r="A753" t="s">
        <v>1589</v>
      </c>
      <c r="B753" t="s">
        <v>1590</v>
      </c>
      <c r="C753" t="s">
        <v>635</v>
      </c>
      <c r="D753" t="s">
        <v>633</v>
      </c>
      <c r="E753">
        <v>38.674672000000001</v>
      </c>
      <c r="F753">
        <v>29.390740000000001</v>
      </c>
      <c r="G753" t="str">
        <f t="shared" si="11"/>
        <v>38,674672 - 29,39074</v>
      </c>
    </row>
    <row r="754" spans="1:7" x14ac:dyDescent="0.25">
      <c r="A754" t="s">
        <v>1591</v>
      </c>
      <c r="B754" t="s">
        <v>1592</v>
      </c>
      <c r="C754" t="s">
        <v>944</v>
      </c>
      <c r="D754" t="s">
        <v>942</v>
      </c>
      <c r="E754">
        <v>38.674672000000001</v>
      </c>
      <c r="F754">
        <v>29.390740000000001</v>
      </c>
      <c r="G754" t="str">
        <f t="shared" si="11"/>
        <v>38,674672 - 29,39074</v>
      </c>
    </row>
    <row r="755" spans="1:7" x14ac:dyDescent="0.25">
      <c r="A755" t="s">
        <v>1593</v>
      </c>
      <c r="B755" t="s">
        <v>1594</v>
      </c>
      <c r="C755" t="s">
        <v>93</v>
      </c>
      <c r="D755" t="s">
        <v>92</v>
      </c>
      <c r="E755">
        <v>41.270257000000001</v>
      </c>
      <c r="F755">
        <v>26.683007</v>
      </c>
      <c r="G755" t="str">
        <f t="shared" si="11"/>
        <v>41,270257 - 26,683007</v>
      </c>
    </row>
    <row r="756" spans="1:7" x14ac:dyDescent="0.25">
      <c r="A756" t="s">
        <v>10</v>
      </c>
      <c r="B756" t="s">
        <v>1595</v>
      </c>
      <c r="C756" t="s">
        <v>1292</v>
      </c>
      <c r="D756" t="s">
        <v>1291</v>
      </c>
      <c r="E756">
        <v>41.196451000000003</v>
      </c>
      <c r="F756">
        <v>32.625377</v>
      </c>
      <c r="G756" t="str">
        <f t="shared" si="11"/>
        <v>41,196451 - 32,625377</v>
      </c>
    </row>
    <row r="757" spans="1:7" x14ac:dyDescent="0.25">
      <c r="A757" t="s">
        <v>1597</v>
      </c>
      <c r="B757" t="s">
        <v>1598</v>
      </c>
      <c r="C757" t="s">
        <v>1475</v>
      </c>
      <c r="D757" t="s">
        <v>1474</v>
      </c>
      <c r="E757">
        <v>40.074947999999999</v>
      </c>
      <c r="F757">
        <v>32.961931</v>
      </c>
      <c r="G757" t="str">
        <f t="shared" si="11"/>
        <v>40,074948 - 32,961931</v>
      </c>
    </row>
    <row r="758" spans="1:7" x14ac:dyDescent="0.25">
      <c r="A758" t="s">
        <v>1600</v>
      </c>
      <c r="B758" t="s">
        <v>1601</v>
      </c>
      <c r="C758" t="s">
        <v>1783</v>
      </c>
      <c r="D758" t="s">
        <v>211</v>
      </c>
      <c r="E758">
        <v>41.115938</v>
      </c>
      <c r="F758">
        <v>37.310578999999997</v>
      </c>
      <c r="G758" t="str">
        <f t="shared" si="11"/>
        <v>41,115938 - 37,310579</v>
      </c>
    </row>
    <row r="759" spans="1:7" x14ac:dyDescent="0.25">
      <c r="A759" t="s">
        <v>1603</v>
      </c>
      <c r="B759" t="s">
        <v>1604</v>
      </c>
      <c r="C759" t="s">
        <v>1876</v>
      </c>
      <c r="D759" t="s">
        <v>416</v>
      </c>
      <c r="E759">
        <v>38.630462000000001</v>
      </c>
      <c r="F759">
        <v>34.912432000000003</v>
      </c>
      <c r="G759" t="str">
        <f t="shared" si="11"/>
        <v>38,630462 - 34,912432</v>
      </c>
    </row>
    <row r="760" spans="1:7" x14ac:dyDescent="0.25">
      <c r="A760" t="s">
        <v>1605</v>
      </c>
      <c r="B760" t="s">
        <v>1606</v>
      </c>
      <c r="C760" t="s">
        <v>415</v>
      </c>
      <c r="D760" t="s">
        <v>413</v>
      </c>
      <c r="E760">
        <v>38.078156999999997</v>
      </c>
      <c r="F760">
        <v>26.956952000000001</v>
      </c>
      <c r="G760" t="str">
        <f t="shared" si="11"/>
        <v>38,078157 - 26,956952</v>
      </c>
    </row>
    <row r="761" spans="1:7" x14ac:dyDescent="0.25">
      <c r="A761" t="s">
        <v>1607</v>
      </c>
      <c r="B761" t="s">
        <v>1608</v>
      </c>
      <c r="C761" t="s">
        <v>1875</v>
      </c>
      <c r="D761" t="s">
        <v>411</v>
      </c>
      <c r="E761">
        <v>41.049056999999998</v>
      </c>
      <c r="F761">
        <v>39.278407999999999</v>
      </c>
      <c r="G761" t="str">
        <f t="shared" si="11"/>
        <v>41,049057 - 39,278408</v>
      </c>
    </row>
    <row r="762" spans="1:7" x14ac:dyDescent="0.25">
      <c r="A762" t="s">
        <v>1610</v>
      </c>
      <c r="B762" t="s">
        <v>1611</v>
      </c>
      <c r="C762" t="s">
        <v>1758</v>
      </c>
      <c r="D762" t="s">
        <v>159</v>
      </c>
      <c r="E762">
        <v>38.513674999999999</v>
      </c>
      <c r="F762">
        <v>43.377628000000001</v>
      </c>
      <c r="G762" t="str">
        <f t="shared" si="11"/>
        <v>38,513675 - 43,377628</v>
      </c>
    </row>
    <row r="763" spans="1:7" x14ac:dyDescent="0.25">
      <c r="A763" t="s">
        <v>1612</v>
      </c>
      <c r="B763" t="s">
        <v>1613</v>
      </c>
      <c r="C763" t="s">
        <v>1529</v>
      </c>
      <c r="D763" t="s">
        <v>1527</v>
      </c>
      <c r="E763">
        <v>37.543103781788012</v>
      </c>
      <c r="F763">
        <v>33.994815775780715</v>
      </c>
      <c r="G763" t="str">
        <f t="shared" si="11"/>
        <v>37,543103781788 - 33,9948157757807</v>
      </c>
    </row>
    <row r="764" spans="1:7" x14ac:dyDescent="0.25">
      <c r="A764" t="s">
        <v>1614</v>
      </c>
      <c r="B764" t="s">
        <v>1615</v>
      </c>
      <c r="C764" t="s">
        <v>2024</v>
      </c>
      <c r="D764" t="s">
        <v>1069</v>
      </c>
      <c r="E764">
        <v>38.790436</v>
      </c>
      <c r="F764">
        <v>30.510663999999998</v>
      </c>
      <c r="G764" t="str">
        <f t="shared" si="11"/>
        <v>38,790436 - 30,510664</v>
      </c>
    </row>
    <row r="765" spans="1:7" x14ac:dyDescent="0.25">
      <c r="A765" t="s">
        <v>1616</v>
      </c>
      <c r="B765" t="s">
        <v>1617</v>
      </c>
      <c r="C765" t="s">
        <v>2077</v>
      </c>
      <c r="D765" t="s">
        <v>1686</v>
      </c>
      <c r="E765">
        <v>37.228009999999998</v>
      </c>
      <c r="F765">
        <v>39.758719999999997</v>
      </c>
      <c r="G765" t="str">
        <f t="shared" si="11"/>
        <v>37,22801 - 39,75872</v>
      </c>
    </row>
    <row r="766" spans="1:7" x14ac:dyDescent="0.25">
      <c r="A766" t="s">
        <v>1618</v>
      </c>
      <c r="B766" t="s">
        <v>1619</v>
      </c>
      <c r="C766" t="s">
        <v>1738</v>
      </c>
      <c r="D766" t="s">
        <v>100</v>
      </c>
      <c r="E766">
        <v>41.570950000000003</v>
      </c>
      <c r="F766">
        <v>27.770479999999999</v>
      </c>
      <c r="G766" t="str">
        <f t="shared" si="11"/>
        <v>41,57095 - 27,77048</v>
      </c>
    </row>
    <row r="767" spans="1:7" x14ac:dyDescent="0.25">
      <c r="A767" t="s">
        <v>1620</v>
      </c>
      <c r="B767" t="s">
        <v>1621</v>
      </c>
      <c r="C767" t="s">
        <v>1222</v>
      </c>
      <c r="D767" t="s">
        <v>1221</v>
      </c>
      <c r="E767">
        <v>36.623781999999999</v>
      </c>
      <c r="F767">
        <v>29.13129</v>
      </c>
      <c r="G767" t="str">
        <f t="shared" si="11"/>
        <v>36,623782 - 29,13129</v>
      </c>
    </row>
    <row r="768" spans="1:7" x14ac:dyDescent="0.25">
      <c r="A768" t="s">
        <v>1622</v>
      </c>
      <c r="B768" t="s">
        <v>1623</v>
      </c>
      <c r="C768" t="s">
        <v>798</v>
      </c>
      <c r="D768" t="s">
        <v>797</v>
      </c>
      <c r="E768">
        <v>37.6434</v>
      </c>
      <c r="F768">
        <v>28.882200000000001</v>
      </c>
      <c r="G768" t="str">
        <f t="shared" si="11"/>
        <v>37,6434 - 28,8822</v>
      </c>
    </row>
    <row r="769" spans="1:7" x14ac:dyDescent="0.25">
      <c r="A769" t="s">
        <v>1624</v>
      </c>
      <c r="B769" t="s">
        <v>1625</v>
      </c>
      <c r="C769" t="s">
        <v>1408</v>
      </c>
      <c r="D769" t="s">
        <v>1407</v>
      </c>
      <c r="E769">
        <v>38.589663000000002</v>
      </c>
      <c r="F769">
        <v>34.678972000000002</v>
      </c>
      <c r="G769" t="str">
        <f t="shared" ref="G769:G802" si="12">CONCATENATE(E769," - ",F769)</f>
        <v>38,589663 - 34,678972</v>
      </c>
    </row>
    <row r="770" spans="1:7" x14ac:dyDescent="0.25">
      <c r="A770" t="s">
        <v>1626</v>
      </c>
      <c r="B770" t="s">
        <v>1627</v>
      </c>
      <c r="C770" t="s">
        <v>1711</v>
      </c>
      <c r="D770" t="s">
        <v>31</v>
      </c>
      <c r="E770">
        <v>40.634149999999998</v>
      </c>
      <c r="F770">
        <v>29.273533</v>
      </c>
      <c r="G770" t="str">
        <f t="shared" si="12"/>
        <v>40,63415 - 29,273533</v>
      </c>
    </row>
    <row r="771" spans="1:7" x14ac:dyDescent="0.25">
      <c r="A771" t="s">
        <v>1628</v>
      </c>
      <c r="B771" t="s">
        <v>1629</v>
      </c>
      <c r="C771" t="s">
        <v>1868</v>
      </c>
      <c r="D771" t="s">
        <v>397</v>
      </c>
      <c r="E771">
        <v>38.289577000000001</v>
      </c>
      <c r="F771">
        <v>31.177681</v>
      </c>
      <c r="G771" t="str">
        <f t="shared" si="12"/>
        <v>38,289577 - 31,177681</v>
      </c>
    </row>
    <row r="772" spans="1:7" x14ac:dyDescent="0.25">
      <c r="A772" t="s">
        <v>1630</v>
      </c>
      <c r="B772" t="s">
        <v>1631</v>
      </c>
      <c r="C772" t="s">
        <v>1196</v>
      </c>
      <c r="D772" t="s">
        <v>1195</v>
      </c>
      <c r="E772">
        <v>40.399422000000001</v>
      </c>
      <c r="F772">
        <v>27.794895</v>
      </c>
      <c r="G772" t="str">
        <f t="shared" si="12"/>
        <v>40,399422 - 27,794895</v>
      </c>
    </row>
    <row r="773" spans="1:7" x14ac:dyDescent="0.25">
      <c r="A773" t="s">
        <v>1632</v>
      </c>
      <c r="B773" t="s">
        <v>1633</v>
      </c>
      <c r="C773" t="s">
        <v>2020</v>
      </c>
      <c r="D773" t="s">
        <v>1050</v>
      </c>
      <c r="E773">
        <v>40.601851500000002</v>
      </c>
      <c r="F773">
        <v>33.6112222</v>
      </c>
      <c r="G773" t="str">
        <f t="shared" si="12"/>
        <v>40,6018515 - 33,6112222</v>
      </c>
    </row>
    <row r="774" spans="1:7" x14ac:dyDescent="0.25">
      <c r="A774" t="s">
        <v>1634</v>
      </c>
      <c r="B774" t="s">
        <v>1635</v>
      </c>
      <c r="C774" t="s">
        <v>1226</v>
      </c>
      <c r="D774" t="s">
        <v>1225</v>
      </c>
      <c r="E774">
        <v>36.623781999999999</v>
      </c>
      <c r="F774">
        <v>29.13129</v>
      </c>
      <c r="G774" t="str">
        <f t="shared" si="12"/>
        <v>36,623782 - 29,13129</v>
      </c>
    </row>
    <row r="775" spans="1:7" x14ac:dyDescent="0.25">
      <c r="A775" t="s">
        <v>1636</v>
      </c>
      <c r="B775" t="s">
        <v>1637</v>
      </c>
      <c r="C775" t="s">
        <v>1236</v>
      </c>
      <c r="D775" t="s">
        <v>1235</v>
      </c>
      <c r="E775">
        <v>36.623781999999999</v>
      </c>
      <c r="F775">
        <v>29.13129</v>
      </c>
      <c r="G775" t="str">
        <f t="shared" si="12"/>
        <v>36,623782 - 29,13129</v>
      </c>
    </row>
    <row r="776" spans="1:7" x14ac:dyDescent="0.25">
      <c r="A776" t="s">
        <v>1638</v>
      </c>
      <c r="B776" t="s">
        <v>1639</v>
      </c>
      <c r="C776" t="s">
        <v>1606</v>
      </c>
      <c r="D776" t="s">
        <v>1605</v>
      </c>
      <c r="E776">
        <v>37.195937000000001</v>
      </c>
      <c r="F776">
        <v>36</v>
      </c>
      <c r="G776" t="str">
        <f t="shared" si="12"/>
        <v>37,195937 - 36</v>
      </c>
    </row>
    <row r="777" spans="1:7" x14ac:dyDescent="0.25">
      <c r="A777" t="s">
        <v>1641</v>
      </c>
      <c r="B777" t="s">
        <v>1642</v>
      </c>
      <c r="C777" t="s">
        <v>1084</v>
      </c>
      <c r="D777" t="s">
        <v>1083</v>
      </c>
      <c r="E777">
        <v>38.370234000000004</v>
      </c>
      <c r="F777">
        <v>31.438488</v>
      </c>
      <c r="G777" t="str">
        <f t="shared" si="12"/>
        <v>38,370234 - 31,438488</v>
      </c>
    </row>
    <row r="778" spans="1:7" x14ac:dyDescent="0.25">
      <c r="A778" t="s">
        <v>1643</v>
      </c>
      <c r="B778" t="s">
        <v>1644</v>
      </c>
      <c r="C778" t="s">
        <v>1874</v>
      </c>
      <c r="D778" t="s">
        <v>409</v>
      </c>
      <c r="E778">
        <v>37.340845999999999</v>
      </c>
      <c r="F778">
        <v>28.139395</v>
      </c>
      <c r="G778" t="str">
        <f t="shared" si="12"/>
        <v>37,340846 - 28,139395</v>
      </c>
    </row>
    <row r="779" spans="1:7" x14ac:dyDescent="0.25">
      <c r="A779" t="s">
        <v>1646</v>
      </c>
      <c r="B779" t="s">
        <v>1647</v>
      </c>
      <c r="C779" t="s">
        <v>1114</v>
      </c>
      <c r="D779" t="s">
        <v>1113</v>
      </c>
      <c r="E779">
        <v>38.370234000000004</v>
      </c>
      <c r="F779">
        <v>31.438488</v>
      </c>
      <c r="G779" t="str">
        <f t="shared" si="12"/>
        <v>38,370234 - 31,438488</v>
      </c>
    </row>
    <row r="780" spans="1:7" x14ac:dyDescent="0.25">
      <c r="A780" t="s">
        <v>1648</v>
      </c>
      <c r="B780" t="s">
        <v>1649</v>
      </c>
      <c r="C780" t="s">
        <v>1260</v>
      </c>
      <c r="D780" t="s">
        <v>1259</v>
      </c>
      <c r="E780">
        <v>37.780878000000001</v>
      </c>
      <c r="F780">
        <v>30.545135999999999</v>
      </c>
      <c r="G780" t="str">
        <f t="shared" si="12"/>
        <v>37,780878 - 30,545136</v>
      </c>
    </row>
    <row r="781" spans="1:7" x14ac:dyDescent="0.25">
      <c r="A781" t="s">
        <v>1651</v>
      </c>
      <c r="B781" t="s">
        <v>1652</v>
      </c>
      <c r="C781" t="s">
        <v>1502</v>
      </c>
      <c r="D781" t="s">
        <v>1501</v>
      </c>
      <c r="E781">
        <v>37.859110000000001</v>
      </c>
      <c r="F781">
        <v>30.524999999999999</v>
      </c>
      <c r="G781" t="str">
        <f t="shared" si="12"/>
        <v>37,85911 - 30,525</v>
      </c>
    </row>
    <row r="782" spans="1:7" x14ac:dyDescent="0.25">
      <c r="A782" t="s">
        <v>1653</v>
      </c>
      <c r="B782" t="s">
        <v>1654</v>
      </c>
      <c r="C782" t="s">
        <v>1596</v>
      </c>
      <c r="D782" t="s">
        <v>10</v>
      </c>
      <c r="E782">
        <v>40.751956</v>
      </c>
      <c r="F782">
        <v>30.697013999999999</v>
      </c>
      <c r="G782" t="str">
        <f t="shared" si="12"/>
        <v>40,751956 - 30,697014</v>
      </c>
    </row>
    <row r="783" spans="1:7" x14ac:dyDescent="0.25">
      <c r="A783" t="s">
        <v>1655</v>
      </c>
      <c r="B783" t="s">
        <v>1656</v>
      </c>
      <c r="C783" t="s">
        <v>1702</v>
      </c>
      <c r="D783" t="s">
        <v>393</v>
      </c>
      <c r="E783">
        <v>39.929723000000003</v>
      </c>
      <c r="F783">
        <v>27.255725999999999</v>
      </c>
      <c r="G783" t="str">
        <f t="shared" si="12"/>
        <v>39,929723 - 27,255726</v>
      </c>
    </row>
    <row r="784" spans="1:7" x14ac:dyDescent="0.25">
      <c r="A784" t="s">
        <v>1657</v>
      </c>
      <c r="B784" t="s">
        <v>1658</v>
      </c>
      <c r="C784" t="s">
        <v>1703</v>
      </c>
      <c r="D784" t="s">
        <v>884</v>
      </c>
      <c r="E784">
        <v>41.201512000000001</v>
      </c>
      <c r="F784">
        <v>32.326625999999997</v>
      </c>
      <c r="G784" t="str">
        <f t="shared" si="12"/>
        <v>41,201512 - 32,326626</v>
      </c>
    </row>
    <row r="785" spans="1:7" x14ac:dyDescent="0.25">
      <c r="A785" t="s">
        <v>1659</v>
      </c>
      <c r="B785" t="s">
        <v>1660</v>
      </c>
      <c r="C785" t="s">
        <v>1867</v>
      </c>
      <c r="D785" t="s">
        <v>395</v>
      </c>
      <c r="E785">
        <v>40.772592000000003</v>
      </c>
      <c r="F785">
        <v>32.030186999999998</v>
      </c>
      <c r="G785" t="str">
        <f t="shared" si="12"/>
        <v>40,772592 - 32,030187</v>
      </c>
    </row>
    <row r="786" spans="1:7" x14ac:dyDescent="0.25">
      <c r="A786" t="s">
        <v>1661</v>
      </c>
      <c r="B786" t="s">
        <v>1662</v>
      </c>
      <c r="C786" t="s">
        <v>782</v>
      </c>
      <c r="D786" t="s">
        <v>781</v>
      </c>
      <c r="E786">
        <v>37.88655</v>
      </c>
      <c r="F786">
        <v>28.18357</v>
      </c>
      <c r="G786" t="str">
        <f t="shared" si="12"/>
        <v>37,88655 - 28,18357</v>
      </c>
    </row>
    <row r="787" spans="1:7" x14ac:dyDescent="0.25">
      <c r="A787" t="s">
        <v>1663</v>
      </c>
      <c r="B787" t="s">
        <v>1664</v>
      </c>
      <c r="C787" t="s">
        <v>1776</v>
      </c>
      <c r="D787" t="s">
        <v>197</v>
      </c>
      <c r="E787">
        <v>40.263925999999998</v>
      </c>
      <c r="F787">
        <v>29.657149</v>
      </c>
      <c r="G787" t="str">
        <f t="shared" si="12"/>
        <v>40,263926 - 29,657149</v>
      </c>
    </row>
    <row r="788" spans="1:7" x14ac:dyDescent="0.25">
      <c r="A788" t="s">
        <v>1666</v>
      </c>
      <c r="B788" t="s">
        <v>1667</v>
      </c>
      <c r="C788" t="s">
        <v>2060</v>
      </c>
      <c r="D788" t="s">
        <v>1622</v>
      </c>
      <c r="E788">
        <v>39.641407746957967</v>
      </c>
      <c r="F788">
        <v>34.469790731929038</v>
      </c>
      <c r="G788" t="str">
        <f t="shared" si="12"/>
        <v>39,641407746958 - 34,469790731929</v>
      </c>
    </row>
    <row r="789" spans="1:7" x14ac:dyDescent="0.25">
      <c r="A789" t="s">
        <v>1668</v>
      </c>
      <c r="B789" t="s">
        <v>1669</v>
      </c>
      <c r="C789" t="s">
        <v>921</v>
      </c>
      <c r="D789" t="s">
        <v>920</v>
      </c>
      <c r="E789">
        <v>37.506649000000003</v>
      </c>
      <c r="F789">
        <v>29.753069</v>
      </c>
      <c r="G789" t="str">
        <f t="shared" si="12"/>
        <v>37,506649 - 29,753069</v>
      </c>
    </row>
    <row r="790" spans="1:7" x14ac:dyDescent="0.25">
      <c r="A790" t="s">
        <v>1670</v>
      </c>
      <c r="B790" t="s">
        <v>1671</v>
      </c>
      <c r="C790" t="s">
        <v>2022</v>
      </c>
      <c r="D790" t="s">
        <v>1057</v>
      </c>
      <c r="E790">
        <v>40.00647</v>
      </c>
      <c r="F790">
        <v>36.220350000000003</v>
      </c>
      <c r="G790" t="str">
        <f t="shared" si="12"/>
        <v>40,00647 - 36,22035</v>
      </c>
    </row>
    <row r="791" spans="1:7" x14ac:dyDescent="0.25">
      <c r="A791" t="s">
        <v>1672</v>
      </c>
      <c r="B791" t="s">
        <v>1673</v>
      </c>
      <c r="C791" t="s">
        <v>1866</v>
      </c>
      <c r="D791" t="s">
        <v>391</v>
      </c>
      <c r="E791">
        <v>39.872230000000002</v>
      </c>
      <c r="F791">
        <v>36.602781</v>
      </c>
      <c r="G791" t="str">
        <f t="shared" si="12"/>
        <v>39,87223 - 36,602781</v>
      </c>
    </row>
    <row r="792" spans="1:7" x14ac:dyDescent="0.25">
      <c r="A792" t="s">
        <v>1675</v>
      </c>
      <c r="B792" t="s">
        <v>1676</v>
      </c>
      <c r="C792" t="s">
        <v>919</v>
      </c>
      <c r="D792" t="s">
        <v>917</v>
      </c>
      <c r="E792">
        <v>39.845729453750302</v>
      </c>
      <c r="F792">
        <v>28.145245532395599</v>
      </c>
      <c r="G792" t="str">
        <f t="shared" si="12"/>
        <v>39,8457294537503 - 28,1452455323956</v>
      </c>
    </row>
    <row r="793" spans="1:7" x14ac:dyDescent="0.25">
      <c r="A793" t="s">
        <v>1678</v>
      </c>
      <c r="B793" t="s">
        <v>1679</v>
      </c>
      <c r="C793" t="s">
        <v>1757</v>
      </c>
      <c r="D793" t="s">
        <v>157</v>
      </c>
      <c r="E793">
        <v>39.82340451351044</v>
      </c>
      <c r="F793">
        <v>34.817285967342876</v>
      </c>
      <c r="G793" t="str">
        <f t="shared" si="12"/>
        <v>39,8234045135104 - 34,8172859673429</v>
      </c>
    </row>
    <row r="794" spans="1:7" x14ac:dyDescent="0.25">
      <c r="A794" t="s">
        <v>1680</v>
      </c>
      <c r="B794" t="s">
        <v>1681</v>
      </c>
      <c r="C794" t="s">
        <v>1330</v>
      </c>
      <c r="D794" t="s">
        <v>1329</v>
      </c>
      <c r="E794">
        <v>39.170558</v>
      </c>
      <c r="F794">
        <v>34.149225000000001</v>
      </c>
      <c r="G794" t="str">
        <f t="shared" si="12"/>
        <v>39,170558 - 34,149225</v>
      </c>
    </row>
    <row r="795" spans="1:7" x14ac:dyDescent="0.25">
      <c r="A795" t="s">
        <v>1682</v>
      </c>
      <c r="B795" t="s">
        <v>1683</v>
      </c>
      <c r="C795" t="s">
        <v>1428</v>
      </c>
      <c r="D795" t="s">
        <v>1427</v>
      </c>
      <c r="E795">
        <v>38.289577000000001</v>
      </c>
      <c r="F795">
        <v>31.177681</v>
      </c>
      <c r="G795" t="str">
        <f t="shared" si="12"/>
        <v>38,289577 - 31,177681</v>
      </c>
    </row>
    <row r="796" spans="1:7" x14ac:dyDescent="0.25">
      <c r="A796" t="s">
        <v>1684</v>
      </c>
      <c r="B796" t="s">
        <v>1685</v>
      </c>
      <c r="C796" t="s">
        <v>708</v>
      </c>
      <c r="D796" t="s">
        <v>706</v>
      </c>
      <c r="E796">
        <v>38.9123679</v>
      </c>
      <c r="F796">
        <v>40.598291379999999</v>
      </c>
      <c r="G796" t="str">
        <f t="shared" si="12"/>
        <v>38,9123679 - 40,59829138</v>
      </c>
    </row>
    <row r="797" spans="1:7" x14ac:dyDescent="0.25">
      <c r="A797" t="s">
        <v>1686</v>
      </c>
      <c r="B797" t="s">
        <v>1687</v>
      </c>
      <c r="C797" t="s">
        <v>1865</v>
      </c>
      <c r="D797" t="s">
        <v>389</v>
      </c>
      <c r="E797">
        <v>39.898460999999998</v>
      </c>
      <c r="F797">
        <v>37.758422000000003</v>
      </c>
      <c r="G797" t="str">
        <f t="shared" si="12"/>
        <v>39,898461 - 37,758422</v>
      </c>
    </row>
    <row r="798" spans="1:7" x14ac:dyDescent="0.25">
      <c r="A798" t="s">
        <v>1688</v>
      </c>
      <c r="B798" t="s">
        <v>1689</v>
      </c>
      <c r="C798" t="s">
        <v>2066</v>
      </c>
      <c r="D798" t="s">
        <v>1634</v>
      </c>
      <c r="E798">
        <v>40.298785871734687</v>
      </c>
      <c r="F798">
        <v>35.894455024782374</v>
      </c>
      <c r="G798" t="str">
        <f t="shared" si="12"/>
        <v>40,2987858717347 - 35,8944550247824</v>
      </c>
    </row>
    <row r="799" spans="1:7" x14ac:dyDescent="0.25">
      <c r="A799" t="s">
        <v>1690</v>
      </c>
      <c r="B799" t="s">
        <v>1691</v>
      </c>
      <c r="C799" t="s">
        <v>1599</v>
      </c>
      <c r="D799" t="s">
        <v>1597</v>
      </c>
      <c r="E799">
        <v>36.5412745</v>
      </c>
      <c r="F799">
        <v>34.076537107500002</v>
      </c>
      <c r="G799" t="str">
        <f t="shared" si="12"/>
        <v>36,5412745 - 34,0765371075</v>
      </c>
    </row>
    <row r="800" spans="1:7" x14ac:dyDescent="0.25">
      <c r="A800" t="s">
        <v>1692</v>
      </c>
      <c r="B800" t="s">
        <v>1693</v>
      </c>
      <c r="C800" t="s">
        <v>977</v>
      </c>
      <c r="D800" t="s">
        <v>976</v>
      </c>
      <c r="E800">
        <v>38.131778169999997</v>
      </c>
      <c r="F800">
        <v>41.715171259999998</v>
      </c>
      <c r="G800" t="str">
        <f t="shared" si="12"/>
        <v>38,13177817 - 41,71517126</v>
      </c>
    </row>
    <row r="801" spans="1:7" x14ac:dyDescent="0.25">
      <c r="A801" t="s">
        <v>1694</v>
      </c>
      <c r="B801" t="s">
        <v>1695</v>
      </c>
      <c r="C801" t="s">
        <v>1744</v>
      </c>
      <c r="D801" t="s">
        <v>128</v>
      </c>
      <c r="E801">
        <v>41.453181000000001</v>
      </c>
      <c r="F801">
        <v>31.776978</v>
      </c>
      <c r="G801" t="str">
        <f t="shared" si="12"/>
        <v>41,453181 - 31,776978</v>
      </c>
    </row>
    <row r="802" spans="1:7" x14ac:dyDescent="0.25">
      <c r="A802" t="s">
        <v>1696</v>
      </c>
      <c r="B802" t="s">
        <v>1697</v>
      </c>
      <c r="C802" t="s">
        <v>702</v>
      </c>
      <c r="D802" t="s">
        <v>700</v>
      </c>
      <c r="E802">
        <v>41.143180440000002</v>
      </c>
      <c r="F802">
        <v>37.147881179999999</v>
      </c>
      <c r="G802" t="str">
        <f t="shared" si="12"/>
        <v>41,14318044 - 37,14788118</v>
      </c>
    </row>
  </sheetData>
  <autoFilter ref="C1:G1">
    <sortState ref="C2:G804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��1 a�1
</file>

<file path=customXml/item2.xml>��1 a�1
</file>

<file path=customXml/itemProps1.xml><?xml version="1.0" encoding="utf-8"?>
<ds:datastoreItem xmlns:ds="http://schemas.openxmlformats.org/officeDocument/2006/customXml" ds:itemID="{8EDCB98E-7AB7-40E9-9AF7-4AC04875269B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F0BECDFF-5B17-4ACB-B0FA-004155EFB7CF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GÜZERGAH TALEP</vt:lpstr>
      <vt:lpstr>YASAK EKLEME &amp; KALDIRMA</vt:lpstr>
      <vt:lpstr>DURAK İSİMLERİ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2024-06-02T16:39:29Z</cp:lastPrinted>
  <dcterms:created xsi:type="dcterms:W3CDTF">2015-06-05T18:19:34Z</dcterms:created>
  <dcterms:modified xsi:type="dcterms:W3CDTF">2026-07-06T14:55:18Z</dcterms:modified>
</cp:coreProperties>
</file>